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ien\Desktop\PPS\Tien\5. Nội suy trung tâm\"/>
    </mc:Choice>
  </mc:AlternateContent>
  <xr:revisionPtr revIDLastSave="0" documentId="13_ncr:1_{E5D06157-E367-405D-A8E1-460F04FD61C9}" xr6:coauthVersionLast="47" xr6:coauthVersionMax="47" xr10:uidLastSave="{00000000-0000-0000-0000-000000000000}"/>
  <bookViews>
    <workbookView xWindow="-110" yWindow="-110" windowWidth="19420" windowHeight="10300" firstSheet="1" activeTab="3" xr2:uid="{305B22B5-5178-4B87-8DF4-001635C2ED15}"/>
  </bookViews>
  <sheets>
    <sheet name="NS bessel" sheetId="3" r:id="rId1"/>
    <sheet name="Bessel 2023.1 (8 mốc)" sheetId="5" r:id="rId2"/>
    <sheet name="Sheet2" sheetId="4" r:id="rId3"/>
    <sheet name="Nội suy trung tâm (9 mốc)" sheetId="1" r:id="rId4"/>
    <sheet name="Bài 22 23 (Gauss I II 7 mốc)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5" l="1"/>
  <c r="Q43" i="5"/>
  <c r="K42" i="5"/>
  <c r="P43" i="5"/>
  <c r="L43" i="5"/>
  <c r="M43" i="5" s="1"/>
  <c r="N43" i="5" s="1"/>
  <c r="O43" i="5" s="1"/>
  <c r="K43" i="5"/>
  <c r="J43" i="5"/>
  <c r="L42" i="5"/>
  <c r="M42" i="5"/>
  <c r="N42" i="5" s="1"/>
  <c r="O42" i="5" s="1"/>
  <c r="P42" i="5" s="1"/>
  <c r="Q42" i="5" s="1"/>
  <c r="J42" i="5"/>
  <c r="H87" i="3"/>
  <c r="G42" i="5"/>
  <c r="Q41" i="5"/>
  <c r="P41" i="5"/>
  <c r="O41" i="5"/>
  <c r="N41" i="5"/>
  <c r="M41" i="5"/>
  <c r="L41" i="5"/>
  <c r="K41" i="5"/>
  <c r="J41" i="5"/>
  <c r="J39" i="5" a="1"/>
  <c r="J39" i="5" s="1"/>
  <c r="J37" i="5" a="1"/>
  <c r="J37" i="5" s="1"/>
  <c r="J25" i="5"/>
  <c r="J30" i="5" a="1"/>
  <c r="J30" i="5" s="1"/>
  <c r="J31" i="5" s="1" a="1"/>
  <c r="J31" i="5" s="1"/>
  <c r="J29" i="5" a="1"/>
  <c r="J29" i="5" s="1"/>
  <c r="J85" i="3" a="1"/>
  <c r="J85" i="3" s="1"/>
  <c r="J83" i="3" a="1"/>
  <c r="J83" i="3" s="1"/>
  <c r="M25" i="5"/>
  <c r="L25" i="5"/>
  <c r="K25" i="5"/>
  <c r="M23" i="5"/>
  <c r="L23" i="5"/>
  <c r="K23" i="5"/>
  <c r="J23" i="5"/>
  <c r="M21" i="5"/>
  <c r="L21" i="5"/>
  <c r="K21" i="5"/>
  <c r="J21" i="5"/>
  <c r="M19" i="5"/>
  <c r="L19" i="5"/>
  <c r="K19" i="5"/>
  <c r="J19" i="5"/>
  <c r="Q12" i="5"/>
  <c r="P12" i="5"/>
  <c r="P11" i="5"/>
  <c r="O11" i="5"/>
  <c r="O12" i="5"/>
  <c r="O10" i="5"/>
  <c r="N10" i="5"/>
  <c r="N11" i="5"/>
  <c r="N12" i="5"/>
  <c r="N9" i="5"/>
  <c r="M9" i="5"/>
  <c r="M10" i="5"/>
  <c r="M11" i="5"/>
  <c r="M12" i="5"/>
  <c r="M8" i="5"/>
  <c r="L8" i="5"/>
  <c r="L9" i="5"/>
  <c r="L10" i="5"/>
  <c r="L11" i="5"/>
  <c r="L12" i="5"/>
  <c r="L7" i="5"/>
  <c r="K7" i="5"/>
  <c r="K8" i="5"/>
  <c r="K9" i="5"/>
  <c r="K10" i="5"/>
  <c r="K11" i="5"/>
  <c r="K12" i="5"/>
  <c r="K6" i="5"/>
  <c r="J6" i="5"/>
  <c r="J7" i="5"/>
  <c r="J8" i="5"/>
  <c r="J9" i="5"/>
  <c r="J10" i="5"/>
  <c r="J11" i="5"/>
  <c r="J12" i="5"/>
  <c r="I6" i="5"/>
  <c r="I7" i="5"/>
  <c r="I8" i="5"/>
  <c r="I9" i="5"/>
  <c r="I10" i="5"/>
  <c r="I11" i="5"/>
  <c r="I12" i="5"/>
  <c r="J5" i="5"/>
  <c r="I5" i="5"/>
  <c r="H2" i="3"/>
  <c r="E2" i="5"/>
  <c r="F1" i="5" s="1"/>
  <c r="H8" i="5" s="1"/>
  <c r="F1" i="3"/>
  <c r="E1" i="5"/>
  <c r="G2" i="3"/>
  <c r="L5" i="2"/>
  <c r="M9" i="4"/>
  <c r="M8" i="4"/>
  <c r="L11" i="4"/>
  <c r="L10" i="4"/>
  <c r="L9" i="4"/>
  <c r="L8" i="4"/>
  <c r="L7" i="4"/>
  <c r="K24" i="4" l="1" a="1"/>
  <c r="K24" i="4" s="1"/>
  <c r="J24" i="4" a="1"/>
  <c r="J24" i="4" s="1"/>
  <c r="C6" i="4"/>
  <c r="E95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3" i="4"/>
  <c r="C3" i="4"/>
  <c r="C4" i="4" s="1"/>
  <c r="D2" i="4"/>
  <c r="I70" i="3"/>
  <c r="J70" i="3"/>
  <c r="K70" i="3"/>
  <c r="L70" i="3"/>
  <c r="J86" i="3" s="1"/>
  <c r="M70" i="3"/>
  <c r="I87" i="3"/>
  <c r="G86" i="3"/>
  <c r="Q86" i="3"/>
  <c r="O86" i="3"/>
  <c r="M86" i="3"/>
  <c r="K86" i="3"/>
  <c r="I86" i="3"/>
  <c r="J78" i="3" a="1"/>
  <c r="J78" i="3" s="1"/>
  <c r="J79" i="3" s="1" a="1"/>
  <c r="J79" i="3" s="1"/>
  <c r="J80" i="3" s="1" a="1"/>
  <c r="J80" i="3" s="1"/>
  <c r="J77" i="3" a="1"/>
  <c r="J77" i="3" s="1"/>
  <c r="M74" i="3"/>
  <c r="R64" i="3"/>
  <c r="M72" i="3" s="1"/>
  <c r="L74" i="3"/>
  <c r="K74" i="3"/>
  <c r="J74" i="3"/>
  <c r="I74" i="3"/>
  <c r="L72" i="3"/>
  <c r="K72" i="3"/>
  <c r="J72" i="3"/>
  <c r="I72" i="3"/>
  <c r="M68" i="3"/>
  <c r="L68" i="3"/>
  <c r="K68" i="3"/>
  <c r="J68" i="3"/>
  <c r="I68" i="3"/>
  <c r="Q64" i="3"/>
  <c r="P64" i="3"/>
  <c r="O64" i="3"/>
  <c r="N64" i="3"/>
  <c r="M64" i="3"/>
  <c r="L64" i="3"/>
  <c r="K64" i="3"/>
  <c r="J64" i="3"/>
  <c r="I64" i="3"/>
  <c r="H64" i="3"/>
  <c r="G64" i="3"/>
  <c r="G57" i="3"/>
  <c r="G58" i="3" s="1"/>
  <c r="I55" i="3"/>
  <c r="I33" i="3" a="1"/>
  <c r="I33" i="3" s="1"/>
  <c r="I34" i="3" s="1" a="1"/>
  <c r="I34" i="3" s="1"/>
  <c r="I35" i="3" s="1" a="1"/>
  <c r="I35" i="3" s="1"/>
  <c r="I36" i="3" s="1" a="1"/>
  <c r="I36" i="3" s="1"/>
  <c r="I37" i="3" s="1" a="1"/>
  <c r="I37" i="3" s="1"/>
  <c r="I38" i="3" s="1" a="1"/>
  <c r="I38" i="3" s="1"/>
  <c r="I39" i="3" s="1" a="1"/>
  <c r="I39" i="3" s="1"/>
  <c r="I40" i="3" s="1" a="1"/>
  <c r="I40" i="3" s="1"/>
  <c r="I15" i="3" a="1"/>
  <c r="I15" i="3" s="1"/>
  <c r="I16" i="3" s="1" a="1"/>
  <c r="I16" i="3" s="1"/>
  <c r="I17" i="3" s="1" a="1"/>
  <c r="I17" i="3" s="1"/>
  <c r="I18" i="3" s="1" a="1"/>
  <c r="I18" i="3" s="1"/>
  <c r="I19" i="3" s="1" a="1"/>
  <c r="I19" i="3" s="1"/>
  <c r="I20" i="3" s="1" a="1"/>
  <c r="I20" i="3" s="1"/>
  <c r="I21" i="3" s="1" a="1"/>
  <c r="I21" i="3" s="1"/>
  <c r="I22" i="3" s="1" a="1"/>
  <c r="I22" i="3" s="1"/>
  <c r="U12" i="3" a="1"/>
  <c r="U12" i="3" s="1"/>
  <c r="U13" i="3" s="1" a="1"/>
  <c r="U13" i="3" s="1"/>
  <c r="U14" i="3" s="1" a="1"/>
  <c r="U14" i="3" s="1"/>
  <c r="G4" i="3"/>
  <c r="G5" i="3" s="1"/>
  <c r="C3" i="3"/>
  <c r="D3" i="3" s="1"/>
  <c r="D2" i="3"/>
  <c r="F1" i="2"/>
  <c r="G2" i="2" s="1"/>
  <c r="D2" i="2"/>
  <c r="C3" i="2"/>
  <c r="C4" i="2" s="1"/>
  <c r="I15" i="2" a="1"/>
  <c r="I15" i="2" s="1"/>
  <c r="I16" i="2" s="1" a="1"/>
  <c r="I16" i="2" s="1"/>
  <c r="I17" i="2" s="1" a="1"/>
  <c r="I17" i="2" s="1"/>
  <c r="I18" i="2" s="1" a="1"/>
  <c r="I18" i="2" s="1"/>
  <c r="I19" i="2" s="1" a="1"/>
  <c r="I19" i="2" s="1"/>
  <c r="I20" i="2" s="1" a="1"/>
  <c r="I20" i="2" s="1"/>
  <c r="I33" i="2" a="1"/>
  <c r="I33" i="2" s="1"/>
  <c r="I34" i="2" a="1"/>
  <c r="I34" i="2" s="1"/>
  <c r="I35" i="2" a="1"/>
  <c r="I35" i="2" s="1"/>
  <c r="I36" i="2" a="1"/>
  <c r="I36" i="2" s="1"/>
  <c r="I37" i="2" s="1" a="1"/>
  <c r="I37" i="2" s="1"/>
  <c r="I38" i="2" s="1" a="1"/>
  <c r="I38" i="2" s="1"/>
  <c r="F1" i="1"/>
  <c r="G2" i="1" s="1"/>
  <c r="D2" i="1"/>
  <c r="C3" i="1"/>
  <c r="D3" i="1" s="1"/>
  <c r="G4" i="1"/>
  <c r="G5" i="1"/>
  <c r="G6" i="1"/>
  <c r="G7" i="1"/>
  <c r="U12" i="1" a="1"/>
  <c r="U12" i="1" s="1"/>
  <c r="U13" i="1" s="1" a="1"/>
  <c r="U13" i="1" s="1"/>
  <c r="U14" i="1" a="1"/>
  <c r="U14" i="1" s="1"/>
  <c r="I15" i="1" a="1"/>
  <c r="I15" i="1" s="1"/>
  <c r="I16" i="1" s="1" a="1"/>
  <c r="I16" i="1" s="1"/>
  <c r="I17" i="1" s="1" a="1"/>
  <c r="I17" i="1" s="1"/>
  <c r="I18" i="1" s="1" a="1"/>
  <c r="I18" i="1" s="1"/>
  <c r="I19" i="1" s="1" a="1"/>
  <c r="I19" i="1" s="1"/>
  <c r="I20" i="1" s="1" a="1"/>
  <c r="I20" i="1" s="1"/>
  <c r="I21" i="1" s="1" a="1"/>
  <c r="I21" i="1" s="1"/>
  <c r="I22" i="1" s="1" a="1"/>
  <c r="I22" i="1" s="1"/>
  <c r="I33" i="1" a="1"/>
  <c r="I33" i="1" s="1"/>
  <c r="I34" i="1" a="1"/>
  <c r="I34" i="1" s="1"/>
  <c r="I35" i="1" s="1" a="1"/>
  <c r="I35" i="1" s="1"/>
  <c r="I36" i="1" s="1" a="1"/>
  <c r="I36" i="1" s="1"/>
  <c r="I37" i="1" s="1" a="1"/>
  <c r="I37" i="1" s="1"/>
  <c r="I38" i="1" s="1" a="1"/>
  <c r="I38" i="1" s="1"/>
  <c r="I39" i="1" s="1" a="1"/>
  <c r="I39" i="1" s="1"/>
  <c r="I40" i="1" s="1" a="1"/>
  <c r="I40" i="1" s="1"/>
  <c r="J87" i="3" l="1"/>
  <c r="K87" i="3" s="1"/>
  <c r="C5" i="4"/>
  <c r="D4" i="4"/>
  <c r="D3" i="4"/>
  <c r="R86" i="3"/>
  <c r="L86" i="3"/>
  <c r="L87" i="3" s="1"/>
  <c r="M87" i="3" s="1"/>
  <c r="P86" i="3"/>
  <c r="N86" i="3"/>
  <c r="C4" i="3"/>
  <c r="C5" i="3" s="1"/>
  <c r="C6" i="3" s="1"/>
  <c r="D6" i="3" s="1"/>
  <c r="G59" i="3"/>
  <c r="H55" i="3"/>
  <c r="G6" i="3"/>
  <c r="G3" i="2"/>
  <c r="C5" i="2"/>
  <c r="D4" i="2"/>
  <c r="D3" i="2"/>
  <c r="G8" i="1"/>
  <c r="C4" i="1"/>
  <c r="N87" i="3" l="1"/>
  <c r="O87" i="3" s="1"/>
  <c r="P87" i="3" s="1"/>
  <c r="Q87" i="3" s="1"/>
  <c r="R87" i="3" s="1"/>
  <c r="D5" i="4"/>
  <c r="C7" i="3"/>
  <c r="D4" i="3"/>
  <c r="D5" i="3"/>
  <c r="G60" i="3"/>
  <c r="G7" i="3"/>
  <c r="D7" i="3"/>
  <c r="C8" i="3"/>
  <c r="C6" i="2"/>
  <c r="D5" i="2"/>
  <c r="G4" i="2"/>
  <c r="G9" i="1"/>
  <c r="D4" i="1"/>
  <c r="C5" i="1"/>
  <c r="D6" i="4" l="1"/>
  <c r="C7" i="4"/>
  <c r="G61" i="3"/>
  <c r="G8" i="3"/>
  <c r="C9" i="3"/>
  <c r="D8" i="3"/>
  <c r="D6" i="2"/>
  <c r="C7" i="2"/>
  <c r="G5" i="2"/>
  <c r="C6" i="1"/>
  <c r="D5" i="1"/>
  <c r="G10" i="1"/>
  <c r="C8" i="4" l="1"/>
  <c r="D7" i="4"/>
  <c r="G62" i="3"/>
  <c r="G9" i="3"/>
  <c r="C10" i="3"/>
  <c r="D9" i="3"/>
  <c r="D7" i="2"/>
  <c r="C8" i="2"/>
  <c r="G6" i="2"/>
  <c r="C7" i="1"/>
  <c r="D6" i="1"/>
  <c r="C9" i="4" l="1"/>
  <c r="D8" i="4"/>
  <c r="G63" i="3"/>
  <c r="G10" i="3"/>
  <c r="C11" i="3"/>
  <c r="D10" i="3"/>
  <c r="C9" i="2"/>
  <c r="D8" i="2"/>
  <c r="G7" i="2"/>
  <c r="D7" i="1"/>
  <c r="C8" i="1"/>
  <c r="C10" i="4" l="1"/>
  <c r="D9" i="4"/>
  <c r="C12" i="3"/>
  <c r="D11" i="3"/>
  <c r="D9" i="2"/>
  <c r="C10" i="2"/>
  <c r="G8" i="2"/>
  <c r="C9" i="1"/>
  <c r="D8" i="1"/>
  <c r="D10" i="4" l="1"/>
  <c r="C11" i="4"/>
  <c r="C13" i="3"/>
  <c r="D12" i="3"/>
  <c r="D10" i="2"/>
  <c r="C11" i="2"/>
  <c r="C10" i="1"/>
  <c r="D9" i="1"/>
  <c r="D11" i="4" l="1"/>
  <c r="C12" i="4"/>
  <c r="C14" i="3"/>
  <c r="D13" i="3"/>
  <c r="D11" i="2"/>
  <c r="C12" i="2"/>
  <c r="C11" i="1"/>
  <c r="D10" i="1"/>
  <c r="C13" i="4" l="1"/>
  <c r="D12" i="4"/>
  <c r="C15" i="3"/>
  <c r="D14" i="3"/>
  <c r="D12" i="2"/>
  <c r="C13" i="2"/>
  <c r="D11" i="1"/>
  <c r="C12" i="1"/>
  <c r="C14" i="4" l="1"/>
  <c r="D13" i="4"/>
  <c r="C16" i="3"/>
  <c r="D15" i="3"/>
  <c r="C14" i="2"/>
  <c r="D13" i="2"/>
  <c r="C13" i="1"/>
  <c r="D12" i="1"/>
  <c r="D14" i="4" l="1"/>
  <c r="C15" i="4"/>
  <c r="C17" i="3"/>
  <c r="D16" i="3"/>
  <c r="D14" i="2"/>
  <c r="C15" i="2"/>
  <c r="D13" i="1"/>
  <c r="C14" i="1"/>
  <c r="C16" i="4" l="1"/>
  <c r="D15" i="4"/>
  <c r="D17" i="3"/>
  <c r="C18" i="3"/>
  <c r="D15" i="2"/>
  <c r="C16" i="2"/>
  <c r="C15" i="1"/>
  <c r="D14" i="1"/>
  <c r="C17" i="4" l="1"/>
  <c r="D16" i="4"/>
  <c r="C19" i="3"/>
  <c r="D18" i="3"/>
  <c r="C17" i="2"/>
  <c r="D16" i="2"/>
  <c r="D15" i="1"/>
  <c r="C16" i="1"/>
  <c r="C18" i="4" l="1"/>
  <c r="D17" i="4"/>
  <c r="D19" i="3"/>
  <c r="C20" i="3"/>
  <c r="D17" i="2"/>
  <c r="C18" i="2"/>
  <c r="C17" i="1"/>
  <c r="D16" i="1"/>
  <c r="D18" i="4" l="1"/>
  <c r="C19" i="4"/>
  <c r="D20" i="3"/>
  <c r="C21" i="3"/>
  <c r="C19" i="2"/>
  <c r="D18" i="2"/>
  <c r="C18" i="1"/>
  <c r="D17" i="1"/>
  <c r="C20" i="4" l="1"/>
  <c r="D19" i="4"/>
  <c r="C22" i="3"/>
  <c r="D21" i="3"/>
  <c r="D19" i="2"/>
  <c r="C20" i="2"/>
  <c r="D18" i="1"/>
  <c r="C19" i="1"/>
  <c r="C21" i="4" l="1"/>
  <c r="D20" i="4"/>
  <c r="D22" i="3"/>
  <c r="C23" i="3"/>
  <c r="C21" i="2"/>
  <c r="D20" i="2"/>
  <c r="C20" i="1"/>
  <c r="D19" i="1"/>
  <c r="C22" i="4" l="1"/>
  <c r="D21" i="4"/>
  <c r="D23" i="3"/>
  <c r="C24" i="3"/>
  <c r="D21" i="2"/>
  <c r="C22" i="2"/>
  <c r="D20" i="1"/>
  <c r="C21" i="1"/>
  <c r="D22" i="4" l="1"/>
  <c r="C23" i="4"/>
  <c r="C25" i="3"/>
  <c r="D24" i="3"/>
  <c r="D22" i="2"/>
  <c r="C23" i="2"/>
  <c r="C22" i="1"/>
  <c r="D21" i="1"/>
  <c r="C24" i="4" l="1"/>
  <c r="D23" i="4"/>
  <c r="D25" i="3"/>
  <c r="C26" i="3"/>
  <c r="C24" i="2"/>
  <c r="D23" i="2"/>
  <c r="C23" i="1"/>
  <c r="D22" i="1"/>
  <c r="C25" i="4" l="1"/>
  <c r="D24" i="4"/>
  <c r="D26" i="3"/>
  <c r="C27" i="3"/>
  <c r="D24" i="2"/>
  <c r="C25" i="2"/>
  <c r="D23" i="1"/>
  <c r="C24" i="1"/>
  <c r="C26" i="4" l="1"/>
  <c r="D25" i="4"/>
  <c r="C28" i="3"/>
  <c r="D27" i="3"/>
  <c r="D25" i="2"/>
  <c r="C26" i="2"/>
  <c r="D24" i="1"/>
  <c r="C25" i="1"/>
  <c r="D26" i="4" l="1"/>
  <c r="C27" i="4"/>
  <c r="C29" i="3"/>
  <c r="D28" i="3"/>
  <c r="C27" i="2"/>
  <c r="D26" i="2"/>
  <c r="D25" i="1"/>
  <c r="C26" i="1"/>
  <c r="C28" i="4" l="1"/>
  <c r="D27" i="4"/>
  <c r="D29" i="3"/>
  <c r="C30" i="3"/>
  <c r="D27" i="2"/>
  <c r="C28" i="2"/>
  <c r="D26" i="1"/>
  <c r="C27" i="1"/>
  <c r="C29" i="4" l="1"/>
  <c r="D28" i="4"/>
  <c r="C31" i="3"/>
  <c r="D30" i="3"/>
  <c r="D28" i="2"/>
  <c r="C29" i="2"/>
  <c r="D27" i="1"/>
  <c r="C28" i="1"/>
  <c r="C30" i="4" l="1"/>
  <c r="D29" i="4"/>
  <c r="C32" i="3"/>
  <c r="D31" i="3"/>
  <c r="D29" i="2"/>
  <c r="C30" i="2"/>
  <c r="C29" i="1"/>
  <c r="D28" i="1"/>
  <c r="D30" i="4" l="1"/>
  <c r="C31" i="4"/>
  <c r="D32" i="3"/>
  <c r="C33" i="3"/>
  <c r="D30" i="2"/>
  <c r="C31" i="2"/>
  <c r="D29" i="1"/>
  <c r="C30" i="1"/>
  <c r="C32" i="4" l="1"/>
  <c r="D31" i="4"/>
  <c r="C34" i="3"/>
  <c r="D33" i="3"/>
  <c r="D31" i="2"/>
  <c r="C32" i="2"/>
  <c r="C31" i="1"/>
  <c r="D30" i="1"/>
  <c r="C33" i="4" l="1"/>
  <c r="D32" i="4"/>
  <c r="D34" i="3"/>
  <c r="C35" i="3"/>
  <c r="D32" i="2"/>
  <c r="C33" i="2"/>
  <c r="D31" i="1"/>
  <c r="C32" i="1"/>
  <c r="C34" i="4" l="1"/>
  <c r="D33" i="4"/>
  <c r="C36" i="3"/>
  <c r="D35" i="3"/>
  <c r="D33" i="2"/>
  <c r="C34" i="2"/>
  <c r="C33" i="1"/>
  <c r="D32" i="1"/>
  <c r="D34" i="4" l="1"/>
  <c r="C35" i="4"/>
  <c r="D36" i="3"/>
  <c r="C37" i="3"/>
  <c r="C35" i="2"/>
  <c r="D34" i="2"/>
  <c r="C34" i="1"/>
  <c r="D33" i="1"/>
  <c r="C36" i="4" l="1"/>
  <c r="D35" i="4"/>
  <c r="C38" i="3"/>
  <c r="D37" i="3"/>
  <c r="D35" i="2"/>
  <c r="C36" i="2"/>
  <c r="C35" i="1"/>
  <c r="D34" i="1"/>
  <c r="C37" i="4" l="1"/>
  <c r="D36" i="4"/>
  <c r="D38" i="3"/>
  <c r="C39" i="3"/>
  <c r="C37" i="2"/>
  <c r="D36" i="2"/>
  <c r="C36" i="1"/>
  <c r="D35" i="1"/>
  <c r="C38" i="4" l="1"/>
  <c r="D37" i="4"/>
  <c r="C40" i="3"/>
  <c r="D39" i="3"/>
  <c r="D37" i="2"/>
  <c r="C38" i="2"/>
  <c r="D36" i="1"/>
  <c r="C37" i="1"/>
  <c r="D38" i="4" l="1"/>
  <c r="C39" i="4"/>
  <c r="D40" i="3"/>
  <c r="C41" i="3"/>
  <c r="C39" i="2"/>
  <c r="D38" i="2"/>
  <c r="C38" i="1"/>
  <c r="D37" i="1"/>
  <c r="C40" i="4" l="1"/>
  <c r="D39" i="4"/>
  <c r="C42" i="3"/>
  <c r="D41" i="3"/>
  <c r="D39" i="2"/>
  <c r="C40" i="2"/>
  <c r="C39" i="1"/>
  <c r="D38" i="1"/>
  <c r="C41" i="4" l="1"/>
  <c r="D40" i="4"/>
  <c r="C43" i="3"/>
  <c r="D42" i="3"/>
  <c r="D40" i="2"/>
  <c r="C41" i="2"/>
  <c r="C40" i="1"/>
  <c r="D39" i="1"/>
  <c r="C42" i="4" l="1"/>
  <c r="D41" i="4"/>
  <c r="D43" i="3"/>
  <c r="C44" i="3"/>
  <c r="D41" i="2"/>
  <c r="C42" i="2"/>
  <c r="D40" i="1"/>
  <c r="C41" i="1"/>
  <c r="D42" i="4" l="1"/>
  <c r="C43" i="4"/>
  <c r="C45" i="3"/>
  <c r="D44" i="3"/>
  <c r="D42" i="2"/>
  <c r="C43" i="2"/>
  <c r="D41" i="1"/>
  <c r="C42" i="1"/>
  <c r="D43" i="4" l="1"/>
  <c r="C44" i="4"/>
  <c r="C46" i="3"/>
  <c r="D45" i="3"/>
  <c r="D43" i="2"/>
  <c r="C44" i="2"/>
  <c r="D42" i="1"/>
  <c r="C43" i="1"/>
  <c r="C45" i="4" l="1"/>
  <c r="D44" i="4"/>
  <c r="D46" i="3"/>
  <c r="C47" i="3"/>
  <c r="D44" i="2"/>
  <c r="C45" i="2"/>
  <c r="C44" i="1"/>
  <c r="D43" i="1"/>
  <c r="C46" i="4" l="1"/>
  <c r="D45" i="4"/>
  <c r="C48" i="3"/>
  <c r="D47" i="3"/>
  <c r="D45" i="2"/>
  <c r="C46" i="2"/>
  <c r="C45" i="1"/>
  <c r="D44" i="1"/>
  <c r="D46" i="4" l="1"/>
  <c r="C47" i="4"/>
  <c r="C49" i="3"/>
  <c r="D48" i="3"/>
  <c r="D46" i="2"/>
  <c r="C47" i="2"/>
  <c r="D45" i="1"/>
  <c r="C46" i="1"/>
  <c r="C48" i="4" l="1"/>
  <c r="D47" i="4"/>
  <c r="C50" i="3"/>
  <c r="D49" i="3"/>
  <c r="D47" i="2"/>
  <c r="C48" i="2"/>
  <c r="D46" i="1"/>
  <c r="C47" i="1"/>
  <c r="C49" i="4" l="1"/>
  <c r="D48" i="4"/>
  <c r="D50" i="3"/>
  <c r="C51" i="3"/>
  <c r="D48" i="2"/>
  <c r="C49" i="2"/>
  <c r="C48" i="1"/>
  <c r="D47" i="1"/>
  <c r="C50" i="4" l="1"/>
  <c r="D49" i="4"/>
  <c r="C52" i="3"/>
  <c r="D51" i="3"/>
  <c r="D49" i="2"/>
  <c r="C50" i="2"/>
  <c r="D48" i="1"/>
  <c r="C49" i="1"/>
  <c r="D50" i="4" l="1"/>
  <c r="C51" i="4"/>
  <c r="C53" i="3"/>
  <c r="D52" i="3"/>
  <c r="D50" i="2"/>
  <c r="C51" i="2"/>
  <c r="D49" i="1"/>
  <c r="C50" i="1"/>
  <c r="C52" i="4" l="1"/>
  <c r="D51" i="4"/>
  <c r="C54" i="3"/>
  <c r="D53" i="3"/>
  <c r="D51" i="2"/>
  <c r="C52" i="2"/>
  <c r="D50" i="1"/>
  <c r="C51" i="1"/>
  <c r="C53" i="4" l="1"/>
  <c r="D52" i="4"/>
  <c r="D54" i="3"/>
  <c r="C55" i="3"/>
  <c r="D52" i="2"/>
  <c r="C53" i="2"/>
  <c r="D51" i="1"/>
  <c r="C52" i="1"/>
  <c r="C54" i="4" l="1"/>
  <c r="D53" i="4"/>
  <c r="C56" i="3"/>
  <c r="D55" i="3"/>
  <c r="D53" i="2"/>
  <c r="C54" i="2"/>
  <c r="D52" i="1"/>
  <c r="C53" i="1"/>
  <c r="D54" i="4" l="1"/>
  <c r="C55" i="4"/>
  <c r="C57" i="3"/>
  <c r="D56" i="3"/>
  <c r="D54" i="2"/>
  <c r="C55" i="2"/>
  <c r="C54" i="1"/>
  <c r="D53" i="1"/>
  <c r="C56" i="4" l="1"/>
  <c r="D55" i="4"/>
  <c r="C58" i="3"/>
  <c r="D57" i="3"/>
  <c r="D55" i="2"/>
  <c r="C56" i="2"/>
  <c r="D54" i="1"/>
  <c r="C55" i="1"/>
  <c r="C57" i="4" l="1"/>
  <c r="D56" i="4"/>
  <c r="D58" i="3"/>
  <c r="C59" i="3"/>
  <c r="D56" i="2"/>
  <c r="C57" i="2"/>
  <c r="C56" i="1"/>
  <c r="D55" i="1"/>
  <c r="C58" i="4" l="1"/>
  <c r="D57" i="4"/>
  <c r="C60" i="3"/>
  <c r="D59" i="3"/>
  <c r="D57" i="2"/>
  <c r="C58" i="2"/>
  <c r="D56" i="1"/>
  <c r="C57" i="1"/>
  <c r="D58" i="4" l="1"/>
  <c r="C59" i="4"/>
  <c r="C61" i="3"/>
  <c r="D60" i="3"/>
  <c r="D58" i="2"/>
  <c r="C59" i="2"/>
  <c r="D57" i="1"/>
  <c r="C58" i="1"/>
  <c r="C60" i="4" l="1"/>
  <c r="D59" i="4"/>
  <c r="C62" i="3"/>
  <c r="D61" i="3"/>
  <c r="D59" i="2"/>
  <c r="C60" i="2"/>
  <c r="D58" i="1"/>
  <c r="C59" i="1"/>
  <c r="C61" i="4" l="1"/>
  <c r="D60" i="4"/>
  <c r="D62" i="3"/>
  <c r="C63" i="3"/>
  <c r="D60" i="2"/>
  <c r="C61" i="2"/>
  <c r="D59" i="1"/>
  <c r="C60" i="1"/>
  <c r="C62" i="4" l="1"/>
  <c r="D61" i="4"/>
  <c r="C64" i="3"/>
  <c r="D63" i="3"/>
  <c r="D61" i="2"/>
  <c r="C62" i="2"/>
  <c r="D60" i="1"/>
  <c r="C61" i="1"/>
  <c r="D62" i="4" l="1"/>
  <c r="C63" i="4"/>
  <c r="C65" i="3"/>
  <c r="D64" i="3"/>
  <c r="D62" i="2"/>
  <c r="C63" i="2"/>
  <c r="D61" i="1"/>
  <c r="C62" i="1"/>
  <c r="C64" i="4" l="1"/>
  <c r="D63" i="4"/>
  <c r="C66" i="3"/>
  <c r="D65" i="3"/>
  <c r="D63" i="2"/>
  <c r="C64" i="2"/>
  <c r="C63" i="1"/>
  <c r="D62" i="1"/>
  <c r="C65" i="4" l="1"/>
  <c r="D64" i="4"/>
  <c r="D66" i="3"/>
  <c r="C67" i="3"/>
  <c r="D64" i="2"/>
  <c r="C65" i="2"/>
  <c r="D63" i="1"/>
  <c r="C64" i="1"/>
  <c r="C66" i="4" l="1"/>
  <c r="D65" i="4"/>
  <c r="C68" i="3"/>
  <c r="D67" i="3"/>
  <c r="D65" i="2"/>
  <c r="C66" i="2"/>
  <c r="D64" i="1"/>
  <c r="C65" i="1"/>
  <c r="D66" i="4" l="1"/>
  <c r="C67" i="4"/>
  <c r="C69" i="3"/>
  <c r="D68" i="3"/>
  <c r="D66" i="2"/>
  <c r="C67" i="2"/>
  <c r="D65" i="1"/>
  <c r="C66" i="1"/>
  <c r="C68" i="4" l="1"/>
  <c r="D67" i="4"/>
  <c r="C70" i="3"/>
  <c r="D69" i="3"/>
  <c r="D67" i="2"/>
  <c r="C68" i="2"/>
  <c r="D66" i="1"/>
  <c r="C67" i="1"/>
  <c r="C69" i="4" l="1"/>
  <c r="D68" i="4"/>
  <c r="D70" i="3"/>
  <c r="C71" i="3"/>
  <c r="C69" i="2"/>
  <c r="D68" i="2"/>
  <c r="D67" i="1"/>
  <c r="C68" i="1"/>
  <c r="C70" i="4" l="1"/>
  <c r="D69" i="4"/>
  <c r="C72" i="3"/>
  <c r="D71" i="3"/>
  <c r="D69" i="2"/>
  <c r="C70" i="2"/>
  <c r="D68" i="1"/>
  <c r="C69" i="1"/>
  <c r="D70" i="4" l="1"/>
  <c r="C71" i="4"/>
  <c r="C73" i="3"/>
  <c r="D72" i="3"/>
  <c r="D70" i="2"/>
  <c r="C71" i="2"/>
  <c r="C70" i="1"/>
  <c r="D69" i="1"/>
  <c r="C72" i="4" l="1"/>
  <c r="D71" i="4"/>
  <c r="C74" i="3"/>
  <c r="D73" i="3"/>
  <c r="D71" i="2"/>
  <c r="C72" i="2"/>
  <c r="D70" i="1"/>
  <c r="C71" i="1"/>
  <c r="C73" i="4" l="1"/>
  <c r="D72" i="4"/>
  <c r="D74" i="3"/>
  <c r="C75" i="3"/>
  <c r="D72" i="2"/>
  <c r="C73" i="2"/>
  <c r="C72" i="1"/>
  <c r="D71" i="1"/>
  <c r="C74" i="4" l="1"/>
  <c r="D73" i="4"/>
  <c r="C76" i="3"/>
  <c r="D75" i="3"/>
  <c r="D73" i="2"/>
  <c r="C74" i="2"/>
  <c r="D72" i="1"/>
  <c r="C73" i="1"/>
  <c r="D74" i="4" l="1"/>
  <c r="C75" i="4"/>
  <c r="C77" i="3"/>
  <c r="D76" i="3"/>
  <c r="D74" i="2"/>
  <c r="C75" i="2"/>
  <c r="D73" i="1"/>
  <c r="C74" i="1"/>
  <c r="C76" i="4" l="1"/>
  <c r="D75" i="4"/>
  <c r="C78" i="3"/>
  <c r="D77" i="3"/>
  <c r="D75" i="2"/>
  <c r="C76" i="2"/>
  <c r="D74" i="1"/>
  <c r="C75" i="1"/>
  <c r="C77" i="4" l="1"/>
  <c r="D76" i="4"/>
  <c r="D78" i="3"/>
  <c r="C79" i="3"/>
  <c r="D76" i="2"/>
  <c r="C77" i="2"/>
  <c r="D75" i="1"/>
  <c r="C76" i="1"/>
  <c r="C78" i="4" l="1"/>
  <c r="D77" i="4"/>
  <c r="C80" i="3"/>
  <c r="D79" i="3"/>
  <c r="D77" i="2"/>
  <c r="C78" i="2"/>
  <c r="D76" i="1"/>
  <c r="C77" i="1"/>
  <c r="D78" i="4" l="1"/>
  <c r="C79" i="4"/>
  <c r="C81" i="3"/>
  <c r="D80" i="3"/>
  <c r="D78" i="2"/>
  <c r="C79" i="2"/>
  <c r="D77" i="1"/>
  <c r="C78" i="1"/>
  <c r="C80" i="4" l="1"/>
  <c r="D79" i="4"/>
  <c r="C82" i="3"/>
  <c r="D81" i="3"/>
  <c r="D79" i="2"/>
  <c r="C80" i="2"/>
  <c r="C79" i="1"/>
  <c r="D78" i="1"/>
  <c r="C81" i="4" l="1"/>
  <c r="D80" i="4"/>
  <c r="D82" i="3"/>
  <c r="C83" i="3"/>
  <c r="C81" i="2"/>
  <c r="D80" i="2"/>
  <c r="D79" i="1"/>
  <c r="C80" i="1"/>
  <c r="C82" i="4" l="1"/>
  <c r="D81" i="4"/>
  <c r="C84" i="3"/>
  <c r="D83" i="3"/>
  <c r="D81" i="2"/>
  <c r="C82" i="2"/>
  <c r="D80" i="1"/>
  <c r="C81" i="1"/>
  <c r="D82" i="4" l="1"/>
  <c r="C83" i="4"/>
  <c r="C85" i="3"/>
  <c r="D84" i="3"/>
  <c r="D82" i="2"/>
  <c r="C83" i="2"/>
  <c r="D81" i="1"/>
  <c r="C82" i="1"/>
  <c r="C84" i="4" l="1"/>
  <c r="D83" i="4"/>
  <c r="C86" i="3"/>
  <c r="D85" i="3"/>
  <c r="D83" i="2"/>
  <c r="C84" i="2"/>
  <c r="C83" i="1"/>
  <c r="D82" i="1"/>
  <c r="C85" i="4" l="1"/>
  <c r="D84" i="4"/>
  <c r="D86" i="3"/>
  <c r="C87" i="3"/>
  <c r="D84" i="2"/>
  <c r="C85" i="2"/>
  <c r="D83" i="1"/>
  <c r="C84" i="1"/>
  <c r="C86" i="4" l="1"/>
  <c r="D85" i="4"/>
  <c r="C88" i="3"/>
  <c r="D87" i="3"/>
  <c r="D85" i="2"/>
  <c r="C86" i="2"/>
  <c r="D84" i="1"/>
  <c r="C85" i="1"/>
  <c r="D86" i="4" l="1"/>
  <c r="C87" i="4"/>
  <c r="C89" i="3"/>
  <c r="D88" i="3"/>
  <c r="D86" i="2"/>
  <c r="C87" i="2"/>
  <c r="C86" i="1"/>
  <c r="D85" i="1"/>
  <c r="C88" i="4" l="1"/>
  <c r="D87" i="4"/>
  <c r="C90" i="3"/>
  <c r="D89" i="3"/>
  <c r="D87" i="2"/>
  <c r="C88" i="2"/>
  <c r="D86" i="1"/>
  <c r="C87" i="1"/>
  <c r="C89" i="4" l="1"/>
  <c r="D88" i="4"/>
  <c r="D90" i="3"/>
  <c r="C91" i="3"/>
  <c r="C89" i="2"/>
  <c r="D88" i="2"/>
  <c r="C88" i="1"/>
  <c r="D87" i="1"/>
  <c r="C90" i="4" l="1"/>
  <c r="D89" i="4"/>
  <c r="C92" i="3"/>
  <c r="D91" i="3"/>
  <c r="D89" i="2"/>
  <c r="C90" i="2"/>
  <c r="D88" i="1"/>
  <c r="C89" i="1"/>
  <c r="D90" i="4" l="1"/>
  <c r="C91" i="4"/>
  <c r="C93" i="3"/>
  <c r="D92" i="3"/>
  <c r="D90" i="2"/>
  <c r="C91" i="2"/>
  <c r="D89" i="1"/>
  <c r="C90" i="1"/>
  <c r="D91" i="4" l="1"/>
  <c r="C92" i="4"/>
  <c r="C94" i="3"/>
  <c r="D93" i="3"/>
  <c r="D91" i="2"/>
  <c r="C92" i="2"/>
  <c r="D90" i="1"/>
  <c r="C91" i="1"/>
  <c r="C93" i="4" l="1"/>
  <c r="D92" i="4"/>
  <c r="D94" i="3"/>
  <c r="C95" i="3"/>
  <c r="D92" i="2"/>
  <c r="C93" i="2"/>
  <c r="D91" i="1"/>
  <c r="C92" i="1"/>
  <c r="C94" i="4" l="1"/>
  <c r="D93" i="4"/>
  <c r="C96" i="3"/>
  <c r="D95" i="3"/>
  <c r="D93" i="2"/>
  <c r="C94" i="2"/>
  <c r="D92" i="1"/>
  <c r="C93" i="1"/>
  <c r="D94" i="4" l="1"/>
  <c r="C95" i="4"/>
  <c r="C97" i="3"/>
  <c r="D96" i="3"/>
  <c r="D94" i="2"/>
  <c r="C95" i="2"/>
  <c r="D93" i="1"/>
  <c r="C94" i="1"/>
  <c r="C96" i="4" l="1"/>
  <c r="D95" i="4"/>
  <c r="C98" i="3"/>
  <c r="D97" i="3"/>
  <c r="D95" i="2"/>
  <c r="C96" i="2"/>
  <c r="C95" i="1"/>
  <c r="D94" i="1"/>
  <c r="C97" i="4" l="1"/>
  <c r="D96" i="4"/>
  <c r="D98" i="3"/>
  <c r="C99" i="3"/>
  <c r="D96" i="2"/>
  <c r="C97" i="2"/>
  <c r="D95" i="1"/>
  <c r="C96" i="1"/>
  <c r="C98" i="4" l="1"/>
  <c r="D97" i="4"/>
  <c r="C100" i="3"/>
  <c r="D99" i="3"/>
  <c r="D97" i="2"/>
  <c r="C98" i="2"/>
  <c r="D96" i="1"/>
  <c r="C97" i="1"/>
  <c r="D98" i="4" l="1"/>
  <c r="C99" i="4"/>
  <c r="C101" i="3"/>
  <c r="D100" i="3"/>
  <c r="D98" i="2"/>
  <c r="C99" i="2"/>
  <c r="D97" i="1"/>
  <c r="C98" i="1"/>
  <c r="C100" i="4" l="1"/>
  <c r="D99" i="4"/>
  <c r="C102" i="3"/>
  <c r="D101" i="3"/>
  <c r="D99" i="2"/>
  <c r="C100" i="2"/>
  <c r="C99" i="1"/>
  <c r="D98" i="1"/>
  <c r="C101" i="4" l="1"/>
  <c r="D100" i="4"/>
  <c r="D102" i="3"/>
  <c r="C103" i="3"/>
  <c r="D100" i="2"/>
  <c r="C101" i="2"/>
  <c r="D99" i="1"/>
  <c r="C100" i="1"/>
  <c r="C102" i="4" l="1"/>
  <c r="D101" i="4"/>
  <c r="C104" i="3"/>
  <c r="D103" i="3"/>
  <c r="D101" i="2"/>
  <c r="C102" i="2"/>
  <c r="D100" i="1"/>
  <c r="C101" i="1"/>
  <c r="D102" i="4" l="1"/>
  <c r="C103" i="4"/>
  <c r="C105" i="3"/>
  <c r="D104" i="3"/>
  <c r="D102" i="2"/>
  <c r="C103" i="2"/>
  <c r="C102" i="1"/>
  <c r="D101" i="1"/>
  <c r="C104" i="4" l="1"/>
  <c r="D103" i="4"/>
  <c r="C106" i="3"/>
  <c r="D105" i="3"/>
  <c r="D103" i="2"/>
  <c r="C104" i="2"/>
  <c r="D102" i="1"/>
  <c r="C103" i="1"/>
  <c r="C105" i="4" l="1"/>
  <c r="D104" i="4"/>
  <c r="D106" i="3"/>
  <c r="C107" i="3"/>
  <c r="D104" i="2"/>
  <c r="C105" i="2"/>
  <c r="C104" i="1"/>
  <c r="D103" i="1"/>
  <c r="C106" i="4" l="1"/>
  <c r="D105" i="4"/>
  <c r="C108" i="3"/>
  <c r="D107" i="3"/>
  <c r="D105" i="2"/>
  <c r="C106" i="2"/>
  <c r="D104" i="1"/>
  <c r="C105" i="1"/>
  <c r="D106" i="4" l="1"/>
  <c r="C107" i="4"/>
  <c r="C109" i="3"/>
  <c r="D108" i="3"/>
  <c r="D106" i="2"/>
  <c r="C107" i="2"/>
  <c r="D105" i="1"/>
  <c r="C106" i="1"/>
  <c r="C108" i="4" l="1"/>
  <c r="D107" i="4"/>
  <c r="C110" i="3"/>
  <c r="D109" i="3"/>
  <c r="D107" i="2"/>
  <c r="C108" i="2"/>
  <c r="D106" i="1"/>
  <c r="C107" i="1"/>
  <c r="C109" i="4" l="1"/>
  <c r="D108" i="4"/>
  <c r="D110" i="3"/>
  <c r="C111" i="3"/>
  <c r="D108" i="2"/>
  <c r="C109" i="2"/>
  <c r="D107" i="1"/>
  <c r="C108" i="1"/>
  <c r="C110" i="4" l="1"/>
  <c r="D109" i="4"/>
  <c r="C112" i="3"/>
  <c r="D111" i="3"/>
  <c r="D109" i="2"/>
  <c r="C110" i="2"/>
  <c r="D108" i="1"/>
  <c r="C109" i="1"/>
  <c r="D110" i="4" l="1"/>
  <c r="C111" i="4"/>
  <c r="C113" i="3"/>
  <c r="D112" i="3"/>
  <c r="D110" i="2"/>
  <c r="C111" i="2"/>
  <c r="D109" i="1"/>
  <c r="C110" i="1"/>
  <c r="C112" i="4" l="1"/>
  <c r="D111" i="4"/>
  <c r="C114" i="3"/>
  <c r="D113" i="3"/>
  <c r="D111" i="2"/>
  <c r="C112" i="2"/>
  <c r="C111" i="1"/>
  <c r="D110" i="1"/>
  <c r="C113" i="4" l="1"/>
  <c r="D112" i="4"/>
  <c r="D114" i="3"/>
  <c r="C115" i="3"/>
  <c r="C113" i="2"/>
  <c r="D112" i="2"/>
  <c r="D111" i="1"/>
  <c r="C112" i="1"/>
  <c r="C114" i="4" l="1"/>
  <c r="D113" i="4"/>
  <c r="C116" i="3"/>
  <c r="D115" i="3"/>
  <c r="D113" i="2"/>
  <c r="C114" i="2"/>
  <c r="D112" i="1"/>
  <c r="C113" i="1"/>
  <c r="D114" i="4" l="1"/>
  <c r="C115" i="4"/>
  <c r="C117" i="3"/>
  <c r="D116" i="3"/>
  <c r="D114" i="2"/>
  <c r="C115" i="2"/>
  <c r="D113" i="1"/>
  <c r="C114" i="1"/>
  <c r="C116" i="4" l="1"/>
  <c r="D115" i="4"/>
  <c r="C118" i="3"/>
  <c r="D117" i="3"/>
  <c r="D115" i="2"/>
  <c r="C116" i="2"/>
  <c r="D114" i="1"/>
  <c r="C115" i="1"/>
  <c r="C117" i="4" l="1"/>
  <c r="D116" i="4"/>
  <c r="D118" i="3"/>
  <c r="C119" i="3"/>
  <c r="H56" i="3" s="1"/>
  <c r="D116" i="2"/>
  <c r="C117" i="2"/>
  <c r="D115" i="1"/>
  <c r="C116" i="1"/>
  <c r="C118" i="4" l="1"/>
  <c r="D117" i="4"/>
  <c r="C120" i="3"/>
  <c r="H57" i="3" s="1"/>
  <c r="D119" i="3"/>
  <c r="H3" i="3"/>
  <c r="D117" i="2"/>
  <c r="C118" i="2"/>
  <c r="D116" i="1"/>
  <c r="C117" i="1"/>
  <c r="D118" i="4" l="1"/>
  <c r="C119" i="4"/>
  <c r="I3" i="3"/>
  <c r="I56" i="3"/>
  <c r="J56" i="3" s="1"/>
  <c r="C121" i="3"/>
  <c r="H58" i="3" s="1"/>
  <c r="D120" i="3"/>
  <c r="H4" i="3"/>
  <c r="D118" i="2"/>
  <c r="C119" i="2"/>
  <c r="C118" i="1"/>
  <c r="D117" i="1"/>
  <c r="C120" i="4" l="1"/>
  <c r="D119" i="4"/>
  <c r="I4" i="3"/>
  <c r="J4" i="3" s="1"/>
  <c r="I57" i="3"/>
  <c r="J57" i="3" s="1"/>
  <c r="K57" i="3" s="1"/>
  <c r="C122" i="3"/>
  <c r="H59" i="3" s="1"/>
  <c r="D121" i="3"/>
  <c r="H5" i="3"/>
  <c r="D119" i="2"/>
  <c r="I2" i="2" s="1"/>
  <c r="C120" i="2"/>
  <c r="H2" i="2"/>
  <c r="D118" i="1"/>
  <c r="I2" i="1" s="1"/>
  <c r="C119" i="1"/>
  <c r="H2" i="1"/>
  <c r="C121" i="4" l="1"/>
  <c r="D120" i="4"/>
  <c r="I5" i="3"/>
  <c r="J5" i="3" s="1"/>
  <c r="K5" i="3" s="1"/>
  <c r="I58" i="3"/>
  <c r="J58" i="3" s="1"/>
  <c r="K58" i="3" s="1"/>
  <c r="L58" i="3" s="1"/>
  <c r="D122" i="3"/>
  <c r="C123" i="3"/>
  <c r="H6" i="3"/>
  <c r="H44" i="3" s="1"/>
  <c r="C121" i="2"/>
  <c r="D120" i="2"/>
  <c r="I3" i="2" s="1"/>
  <c r="J3" i="2" s="1"/>
  <c r="H3" i="2"/>
  <c r="H3" i="1"/>
  <c r="C120" i="1"/>
  <c r="D119" i="1"/>
  <c r="I3" i="1" s="1"/>
  <c r="J3" i="1" s="1"/>
  <c r="C122" i="4" l="1"/>
  <c r="D121" i="4"/>
  <c r="H60" i="3"/>
  <c r="I6" i="3"/>
  <c r="I29" i="3" s="1"/>
  <c r="I30" i="3" s="1"/>
  <c r="I59" i="3"/>
  <c r="J59" i="3" s="1"/>
  <c r="K59" i="3" s="1"/>
  <c r="L59" i="3" s="1"/>
  <c r="M59" i="3" s="1"/>
  <c r="C124" i="3"/>
  <c r="H61" i="3" s="1"/>
  <c r="D123" i="3"/>
  <c r="H7" i="3"/>
  <c r="J6" i="3"/>
  <c r="U3" i="3"/>
  <c r="X17" i="3" s="1"/>
  <c r="D121" i="2"/>
  <c r="I4" i="2" s="1"/>
  <c r="J4" i="2" s="1"/>
  <c r="K4" i="2" s="1"/>
  <c r="C122" i="2"/>
  <c r="H4" i="2"/>
  <c r="D120" i="1"/>
  <c r="I4" i="1" s="1"/>
  <c r="J4" i="1" s="1"/>
  <c r="K4" i="1" s="1"/>
  <c r="C121" i="1"/>
  <c r="H4" i="1"/>
  <c r="D122" i="4" l="1"/>
  <c r="C123" i="4"/>
  <c r="I7" i="3"/>
  <c r="J7" i="3" s="1"/>
  <c r="I60" i="3"/>
  <c r="J60" i="3" s="1"/>
  <c r="K60" i="3" s="1"/>
  <c r="L60" i="3" s="1"/>
  <c r="M60" i="3" s="1"/>
  <c r="N60" i="3" s="1"/>
  <c r="I2" i="3"/>
  <c r="J3" i="3" s="1"/>
  <c r="K4" i="3" s="1"/>
  <c r="L5" i="3" s="1"/>
  <c r="I11" i="3"/>
  <c r="I12" i="3" s="1"/>
  <c r="K6" i="3"/>
  <c r="L6" i="3" s="1"/>
  <c r="J29" i="3"/>
  <c r="J30" i="3" s="1"/>
  <c r="U6" i="3"/>
  <c r="U9" i="3" s="1"/>
  <c r="C125" i="3"/>
  <c r="H62" i="3" s="1"/>
  <c r="D124" i="3"/>
  <c r="H8" i="3"/>
  <c r="J11" i="3"/>
  <c r="J12" i="3" s="1"/>
  <c r="K7" i="3"/>
  <c r="D122" i="2"/>
  <c r="I5" i="2" s="1"/>
  <c r="C123" i="2"/>
  <c r="H5" i="2"/>
  <c r="H44" i="2" s="1"/>
  <c r="D121" i="1"/>
  <c r="I5" i="1" s="1"/>
  <c r="J5" i="1" s="1"/>
  <c r="K5" i="1" s="1"/>
  <c r="L5" i="1" s="1"/>
  <c r="C122" i="1"/>
  <c r="H5" i="1"/>
  <c r="C124" i="4" l="1"/>
  <c r="D123" i="4"/>
  <c r="M6" i="3"/>
  <c r="I8" i="3"/>
  <c r="J8" i="3" s="1"/>
  <c r="K8" i="3" s="1"/>
  <c r="L8" i="3" s="1"/>
  <c r="I61" i="3"/>
  <c r="J61" i="3" s="1"/>
  <c r="K61" i="3" s="1"/>
  <c r="L61" i="3" s="1"/>
  <c r="M61" i="3" s="1"/>
  <c r="N61" i="3" s="1"/>
  <c r="O61" i="3" s="1"/>
  <c r="L11" i="3"/>
  <c r="L12" i="3" s="1"/>
  <c r="C126" i="3"/>
  <c r="H63" i="3" s="1"/>
  <c r="D125" i="3"/>
  <c r="H9" i="3"/>
  <c r="K11" i="3"/>
  <c r="K12" i="3" s="1"/>
  <c r="L7" i="3"/>
  <c r="V3" i="3"/>
  <c r="U8" i="3" s="1"/>
  <c r="K29" i="3"/>
  <c r="K30" i="3" s="1"/>
  <c r="D123" i="2"/>
  <c r="I6" i="2" s="1"/>
  <c r="C124" i="2"/>
  <c r="H6" i="2"/>
  <c r="I29" i="2"/>
  <c r="I30" i="2" s="1"/>
  <c r="J5" i="2"/>
  <c r="D122" i="1"/>
  <c r="I6" i="1" s="1"/>
  <c r="C123" i="1"/>
  <c r="H6" i="1"/>
  <c r="H44" i="1" s="1"/>
  <c r="C125" i="4" l="1"/>
  <c r="D124" i="4"/>
  <c r="I9" i="3"/>
  <c r="J9" i="3" s="1"/>
  <c r="K9" i="3" s="1"/>
  <c r="L9" i="3" s="1"/>
  <c r="M9" i="3" s="1"/>
  <c r="I62" i="3"/>
  <c r="J62" i="3" s="1"/>
  <c r="K62" i="3" s="1"/>
  <c r="L62" i="3" s="1"/>
  <c r="M62" i="3" s="1"/>
  <c r="N62" i="3" s="1"/>
  <c r="O62" i="3" s="1"/>
  <c r="P62" i="3" s="1"/>
  <c r="L29" i="3"/>
  <c r="L30" i="3" s="1"/>
  <c r="M7" i="3"/>
  <c r="N7" i="3" s="1"/>
  <c r="V6" i="3"/>
  <c r="V9" i="3" s="1"/>
  <c r="D126" i="3"/>
  <c r="C127" i="3"/>
  <c r="H10" i="3"/>
  <c r="M8" i="3"/>
  <c r="N9" i="3" s="1"/>
  <c r="K5" i="2"/>
  <c r="J29" i="2"/>
  <c r="J30" i="2" s="1"/>
  <c r="D124" i="2"/>
  <c r="I7" i="2" s="1"/>
  <c r="J7" i="2" s="1"/>
  <c r="K7" i="2" s="1"/>
  <c r="C125" i="2"/>
  <c r="H7" i="2"/>
  <c r="I11" i="2"/>
  <c r="I12" i="2" s="1"/>
  <c r="J6" i="2"/>
  <c r="D123" i="1"/>
  <c r="I7" i="1" s="1"/>
  <c r="J7" i="1" s="1"/>
  <c r="C124" i="1"/>
  <c r="H7" i="1"/>
  <c r="U3" i="1"/>
  <c r="X17" i="1" s="1"/>
  <c r="J6" i="1"/>
  <c r="I11" i="1"/>
  <c r="I12" i="1" s="1"/>
  <c r="I29" i="1"/>
  <c r="I30" i="1" s="1"/>
  <c r="C126" i="4" l="1"/>
  <c r="D125" i="4"/>
  <c r="I10" i="3"/>
  <c r="J10" i="3" s="1"/>
  <c r="K10" i="3" s="1"/>
  <c r="L10" i="3" s="1"/>
  <c r="M10" i="3" s="1"/>
  <c r="N10" i="3" s="1"/>
  <c r="I63" i="3"/>
  <c r="J63" i="3" s="1"/>
  <c r="K63" i="3" s="1"/>
  <c r="L63" i="3" s="1"/>
  <c r="M63" i="3" s="1"/>
  <c r="N63" i="3" s="1"/>
  <c r="O63" i="3" s="1"/>
  <c r="P63" i="3" s="1"/>
  <c r="Q63" i="3" s="1"/>
  <c r="N11" i="3"/>
  <c r="N12" i="3" s="1"/>
  <c r="C128" i="3"/>
  <c r="D127" i="3"/>
  <c r="O10" i="3"/>
  <c r="M29" i="3"/>
  <c r="M30" i="3" s="1"/>
  <c r="N8" i="3"/>
  <c r="M11" i="3"/>
  <c r="M12" i="3" s="1"/>
  <c r="W3" i="3"/>
  <c r="V8" i="3" s="1"/>
  <c r="K6" i="2"/>
  <c r="J11" i="2"/>
  <c r="J12" i="2" s="1"/>
  <c r="L7" i="2"/>
  <c r="D125" i="2"/>
  <c r="I8" i="2" s="1"/>
  <c r="J8" i="2" s="1"/>
  <c r="K8" i="2" s="1"/>
  <c r="L8" i="2" s="1"/>
  <c r="M8" i="2" s="1"/>
  <c r="C126" i="2"/>
  <c r="H8" i="2"/>
  <c r="K6" i="1"/>
  <c r="L6" i="1" s="1"/>
  <c r="M6" i="1" s="1"/>
  <c r="U6" i="1"/>
  <c r="U9" i="1" s="1"/>
  <c r="J29" i="1"/>
  <c r="J30" i="1" s="1"/>
  <c r="D124" i="1"/>
  <c r="I8" i="1" s="1"/>
  <c r="J8" i="1" s="1"/>
  <c r="K8" i="1" s="1"/>
  <c r="L8" i="1" s="1"/>
  <c r="C125" i="1"/>
  <c r="H8" i="1"/>
  <c r="K7" i="1"/>
  <c r="J11" i="1"/>
  <c r="J12" i="1" s="1"/>
  <c r="D126" i="4" l="1"/>
  <c r="C127" i="4"/>
  <c r="N29" i="3"/>
  <c r="N30" i="3" s="1"/>
  <c r="W6" i="3"/>
  <c r="W9" i="3" s="1"/>
  <c r="O8" i="3"/>
  <c r="C129" i="3"/>
  <c r="D128" i="3"/>
  <c r="O9" i="3"/>
  <c r="P10" i="3" s="1"/>
  <c r="D126" i="2"/>
  <c r="C127" i="2"/>
  <c r="L11" i="2"/>
  <c r="L12" i="2" s="1"/>
  <c r="K11" i="2"/>
  <c r="K12" i="2" s="1"/>
  <c r="L6" i="2"/>
  <c r="M7" i="2" s="1"/>
  <c r="K29" i="2"/>
  <c r="K30" i="2" s="1"/>
  <c r="L11" i="1"/>
  <c r="L12" i="1" s="1"/>
  <c r="D125" i="1"/>
  <c r="I9" i="1" s="1"/>
  <c r="J9" i="1" s="1"/>
  <c r="K9" i="1" s="1"/>
  <c r="L9" i="1" s="1"/>
  <c r="M9" i="1" s="1"/>
  <c r="C126" i="1"/>
  <c r="H9" i="1"/>
  <c r="L7" i="1"/>
  <c r="V3" i="1"/>
  <c r="U8" i="1" s="1"/>
  <c r="K11" i="1"/>
  <c r="K12" i="1" s="1"/>
  <c r="K29" i="1"/>
  <c r="K30" i="1" s="1"/>
  <c r="C128" i="4" l="1"/>
  <c r="D127" i="4"/>
  <c r="C130" i="3"/>
  <c r="D129" i="3"/>
  <c r="P11" i="3"/>
  <c r="P12" i="3" s="1"/>
  <c r="O29" i="3"/>
  <c r="O30" i="3" s="1"/>
  <c r="O11" i="3"/>
  <c r="O12" i="3" s="1"/>
  <c r="X3" i="3"/>
  <c r="W8" i="3" s="1"/>
  <c r="P9" i="3"/>
  <c r="M11" i="2"/>
  <c r="M12" i="2" s="1"/>
  <c r="M29" i="2"/>
  <c r="M30" i="2" s="1"/>
  <c r="N7" i="2"/>
  <c r="N29" i="2" s="1"/>
  <c r="N30" i="2" s="1"/>
  <c r="N8" i="2"/>
  <c r="D127" i="2"/>
  <c r="C128" i="2"/>
  <c r="L29" i="2"/>
  <c r="L30" i="2" s="1"/>
  <c r="M6" i="2"/>
  <c r="V6" i="1"/>
  <c r="V9" i="1" s="1"/>
  <c r="L29" i="1"/>
  <c r="L30" i="1" s="1"/>
  <c r="M7" i="1"/>
  <c r="N7" i="1" s="1"/>
  <c r="C127" i="1"/>
  <c r="D126" i="1"/>
  <c r="I10" i="1" s="1"/>
  <c r="J10" i="1" s="1"/>
  <c r="K10" i="1" s="1"/>
  <c r="L10" i="1" s="1"/>
  <c r="M10" i="1" s="1"/>
  <c r="N10" i="1" s="1"/>
  <c r="O10" i="1" s="1"/>
  <c r="H10" i="1"/>
  <c r="N9" i="1"/>
  <c r="M8" i="1"/>
  <c r="C129" i="4" l="1"/>
  <c r="D128" i="4"/>
  <c r="P29" i="3"/>
  <c r="P30" i="3" s="1"/>
  <c r="X6" i="3"/>
  <c r="X9" i="3" s="1"/>
  <c r="T19" i="3" s="1" a="1"/>
  <c r="T19" i="3" s="1"/>
  <c r="Q10" i="3"/>
  <c r="D130" i="3"/>
  <c r="C131" i="3"/>
  <c r="D128" i="2"/>
  <c r="C129" i="2"/>
  <c r="N11" i="2"/>
  <c r="N12" i="2" s="1"/>
  <c r="O8" i="2"/>
  <c r="N11" i="1"/>
  <c r="N12" i="1" s="1"/>
  <c r="D127" i="1"/>
  <c r="C128" i="1"/>
  <c r="M29" i="1"/>
  <c r="M30" i="1" s="1"/>
  <c r="W3" i="1"/>
  <c r="V8" i="1" s="1"/>
  <c r="N8" i="1"/>
  <c r="M11" i="1"/>
  <c r="M12" i="1" s="1"/>
  <c r="C130" i="4" l="1"/>
  <c r="D129" i="4"/>
  <c r="C132" i="3"/>
  <c r="D131" i="3"/>
  <c r="Q29" i="3"/>
  <c r="Q30" i="3" s="1"/>
  <c r="I43" i="3" s="1" a="1"/>
  <c r="I43" i="3" s="1"/>
  <c r="I44" i="3" s="1"/>
  <c r="J44" i="3" s="1"/>
  <c r="K44" i="3" s="1"/>
  <c r="L44" i="3" s="1"/>
  <c r="M44" i="3" s="1"/>
  <c r="N44" i="3" s="1"/>
  <c r="O44" i="3" s="1"/>
  <c r="P44" i="3" s="1"/>
  <c r="Q44" i="3" s="1"/>
  <c r="Y3" i="3"/>
  <c r="X8" i="3" s="1"/>
  <c r="T17" i="3" s="1" a="1"/>
  <c r="T17" i="3" s="1"/>
  <c r="Q11" i="3"/>
  <c r="Q12" i="3" s="1"/>
  <c r="I25" i="3" s="1" a="1"/>
  <c r="I25" i="3" s="1"/>
  <c r="O29" i="2"/>
  <c r="O30" i="2" s="1"/>
  <c r="I43" i="2" s="1" a="1"/>
  <c r="I43" i="2" s="1"/>
  <c r="I44" i="2" s="1"/>
  <c r="J44" i="2" s="1"/>
  <c r="K44" i="2" s="1"/>
  <c r="L44" i="2" s="1"/>
  <c r="M44" i="2" s="1"/>
  <c r="N44" i="2" s="1"/>
  <c r="O44" i="2" s="1"/>
  <c r="O11" i="2"/>
  <c r="O12" i="2" s="1"/>
  <c r="I25" i="2" s="1" a="1"/>
  <c r="I25" i="2" s="1"/>
  <c r="D129" i="2"/>
  <c r="C130" i="2"/>
  <c r="W6" i="1"/>
  <c r="W9" i="1" s="1"/>
  <c r="O8" i="1"/>
  <c r="N29" i="1"/>
  <c r="N30" i="1" s="1"/>
  <c r="O9" i="1"/>
  <c r="D128" i="1"/>
  <c r="C129" i="1"/>
  <c r="D130" i="4" l="1"/>
  <c r="C131" i="4"/>
  <c r="C133" i="3"/>
  <c r="D132" i="3"/>
  <c r="D130" i="2"/>
  <c r="C131" i="2"/>
  <c r="D129" i="1"/>
  <c r="C130" i="1"/>
  <c r="O11" i="1"/>
  <c r="O12" i="1" s="1"/>
  <c r="X3" i="1"/>
  <c r="W8" i="1" s="1"/>
  <c r="P9" i="1"/>
  <c r="O29" i="1"/>
  <c r="O30" i="1" s="1"/>
  <c r="P10" i="1"/>
  <c r="C132" i="4" l="1"/>
  <c r="D131" i="4"/>
  <c r="C134" i="3"/>
  <c r="D133" i="3"/>
  <c r="D131" i="2"/>
  <c r="C132" i="2"/>
  <c r="Q10" i="1"/>
  <c r="P11" i="1"/>
  <c r="P12" i="1" s="1"/>
  <c r="X6" i="1"/>
  <c r="X9" i="1" s="1"/>
  <c r="T19" i="1" s="1" a="1"/>
  <c r="T19" i="1" s="1"/>
  <c r="P29" i="1"/>
  <c r="P30" i="1" s="1"/>
  <c r="D130" i="1"/>
  <c r="C131" i="1"/>
  <c r="C133" i="4" l="1"/>
  <c r="D132" i="4"/>
  <c r="D134" i="3"/>
  <c r="C135" i="3"/>
  <c r="D132" i="2"/>
  <c r="C133" i="2"/>
  <c r="D131" i="1"/>
  <c r="C132" i="1"/>
  <c r="Q11" i="1"/>
  <c r="Q12" i="1" s="1"/>
  <c r="I25" i="1" s="1" a="1"/>
  <c r="I25" i="1" s="1"/>
  <c r="Y3" i="1"/>
  <c r="X8" i="1" s="1"/>
  <c r="T17" i="1" s="1" a="1"/>
  <c r="T17" i="1" s="1"/>
  <c r="Q29" i="1"/>
  <c r="Q30" i="1" s="1"/>
  <c r="I43" i="1" s="1" a="1"/>
  <c r="I43" i="1" s="1"/>
  <c r="I44" i="1" s="1"/>
  <c r="J44" i="1" s="1"/>
  <c r="K44" i="1" s="1"/>
  <c r="L44" i="1" s="1"/>
  <c r="M44" i="1" s="1"/>
  <c r="N44" i="1" s="1"/>
  <c r="O44" i="1" s="1"/>
  <c r="P44" i="1" s="1"/>
  <c r="Q44" i="1" s="1"/>
  <c r="C134" i="4" l="1"/>
  <c r="D133" i="4"/>
  <c r="C136" i="3"/>
  <c r="D135" i="3"/>
  <c r="D133" i="2"/>
  <c r="C134" i="2"/>
  <c r="D132" i="1"/>
  <c r="C133" i="1"/>
  <c r="D134" i="4" l="1"/>
  <c r="C135" i="4"/>
  <c r="C137" i="3"/>
  <c r="D136" i="3"/>
  <c r="D134" i="2"/>
  <c r="C135" i="2"/>
  <c r="C134" i="1"/>
  <c r="D133" i="1"/>
  <c r="C136" i="4" l="1"/>
  <c r="D135" i="4"/>
  <c r="C138" i="3"/>
  <c r="D137" i="3"/>
  <c r="D135" i="2"/>
  <c r="C136" i="2"/>
  <c r="D134" i="1"/>
  <c r="C135" i="1"/>
  <c r="C137" i="4" l="1"/>
  <c r="D136" i="4"/>
  <c r="D138" i="3"/>
  <c r="C139" i="3"/>
  <c r="D136" i="2"/>
  <c r="C137" i="2"/>
  <c r="C136" i="1"/>
  <c r="D135" i="1"/>
  <c r="C138" i="4" l="1"/>
  <c r="D137" i="4"/>
  <c r="C140" i="3"/>
  <c r="D139" i="3"/>
  <c r="D137" i="2"/>
  <c r="C138" i="2"/>
  <c r="D136" i="1"/>
  <c r="C137" i="1"/>
  <c r="D138" i="4" l="1"/>
  <c r="C139" i="4"/>
  <c r="C141" i="3"/>
  <c r="D140" i="3"/>
  <c r="D138" i="2"/>
  <c r="C139" i="2"/>
  <c r="C138" i="1"/>
  <c r="D137" i="1"/>
  <c r="D139" i="4" l="1"/>
  <c r="C140" i="4"/>
  <c r="C142" i="3"/>
  <c r="D141" i="3"/>
  <c r="D139" i="2"/>
  <c r="C140" i="2"/>
  <c r="D138" i="1"/>
  <c r="C139" i="1"/>
  <c r="C141" i="4" l="1"/>
  <c r="D140" i="4"/>
  <c r="D142" i="3"/>
  <c r="C143" i="3"/>
  <c r="C141" i="2"/>
  <c r="D140" i="2"/>
  <c r="D139" i="1"/>
  <c r="C140" i="1"/>
  <c r="C142" i="4" l="1"/>
  <c r="D141" i="4"/>
  <c r="C144" i="3"/>
  <c r="D143" i="3"/>
  <c r="D141" i="2"/>
  <c r="C142" i="2"/>
  <c r="D140" i="1"/>
  <c r="C141" i="1"/>
  <c r="D142" i="4" l="1"/>
  <c r="C143" i="4"/>
  <c r="C145" i="3"/>
  <c r="D144" i="3"/>
  <c r="D142" i="2"/>
  <c r="C143" i="2"/>
  <c r="D141" i="1"/>
  <c r="C142" i="1"/>
  <c r="D143" i="4" l="1"/>
  <c r="C144" i="4"/>
  <c r="C146" i="3"/>
  <c r="D145" i="3"/>
  <c r="D143" i="2"/>
  <c r="C144" i="2"/>
  <c r="C143" i="1"/>
  <c r="D142" i="1"/>
  <c r="C145" i="4" l="1"/>
  <c r="D144" i="4"/>
  <c r="D146" i="3"/>
  <c r="C147" i="3"/>
  <c r="C145" i="2"/>
  <c r="D144" i="2"/>
  <c r="D143" i="1"/>
  <c r="C144" i="1"/>
  <c r="C146" i="4" l="1"/>
  <c r="D145" i="4"/>
  <c r="C148" i="3"/>
  <c r="D147" i="3"/>
  <c r="D145" i="2"/>
  <c r="C146" i="2"/>
  <c r="D144" i="1"/>
  <c r="C145" i="1"/>
  <c r="D146" i="4" l="1"/>
  <c r="C147" i="4"/>
  <c r="C149" i="3"/>
  <c r="D148" i="3"/>
  <c r="D146" i="2"/>
  <c r="C147" i="2"/>
  <c r="D145" i="1"/>
  <c r="C146" i="1"/>
  <c r="C148" i="4" l="1"/>
  <c r="D147" i="4"/>
  <c r="C150" i="3"/>
  <c r="D149" i="3"/>
  <c r="D147" i="2"/>
  <c r="C148" i="2"/>
  <c r="D146" i="1"/>
  <c r="C147" i="1"/>
  <c r="C149" i="4" l="1"/>
  <c r="D148" i="4"/>
  <c r="D150" i="3"/>
  <c r="C151" i="3"/>
  <c r="D148" i="2"/>
  <c r="C149" i="2"/>
  <c r="D147" i="1"/>
  <c r="C148" i="1"/>
  <c r="C150" i="4" l="1"/>
  <c r="D149" i="4"/>
  <c r="C152" i="3"/>
  <c r="D151" i="3"/>
  <c r="D149" i="2"/>
  <c r="C150" i="2"/>
  <c r="D148" i="1"/>
  <c r="C149" i="1"/>
  <c r="D150" i="4" l="1"/>
  <c r="C151" i="4"/>
  <c r="C153" i="3"/>
  <c r="D152" i="3"/>
  <c r="D150" i="2"/>
  <c r="C151" i="2"/>
  <c r="C150" i="1"/>
  <c r="D149" i="1"/>
  <c r="C152" i="4" l="1"/>
  <c r="D151" i="4"/>
  <c r="C154" i="3"/>
  <c r="D153" i="3"/>
  <c r="D151" i="2"/>
  <c r="C152" i="2"/>
  <c r="D150" i="1"/>
  <c r="C151" i="1"/>
  <c r="C153" i="4" l="1"/>
  <c r="D152" i="4"/>
  <c r="D154" i="3"/>
  <c r="C155" i="3"/>
  <c r="C153" i="2"/>
  <c r="D152" i="2"/>
  <c r="C152" i="1"/>
  <c r="D151" i="1"/>
  <c r="C154" i="4" l="1"/>
  <c r="D153" i="4"/>
  <c r="C156" i="3"/>
  <c r="D155" i="3"/>
  <c r="D153" i="2"/>
  <c r="C154" i="2"/>
  <c r="D152" i="1"/>
  <c r="C153" i="1"/>
  <c r="D154" i="4" l="1"/>
  <c r="C155" i="4"/>
  <c r="C157" i="3"/>
  <c r="D156" i="3"/>
  <c r="D154" i="2"/>
  <c r="C155" i="2"/>
  <c r="D153" i="1"/>
  <c r="C154" i="1"/>
  <c r="C156" i="4" l="1"/>
  <c r="D155" i="4"/>
  <c r="C158" i="3"/>
  <c r="D157" i="3"/>
  <c r="D155" i="2"/>
  <c r="C156" i="2"/>
  <c r="D154" i="1"/>
  <c r="C155" i="1"/>
  <c r="C157" i="4" l="1"/>
  <c r="D156" i="4"/>
  <c r="D158" i="3"/>
  <c r="C159" i="3"/>
  <c r="D156" i="2"/>
  <c r="C157" i="2"/>
  <c r="D155" i="1"/>
  <c r="C156" i="1"/>
  <c r="C158" i="4" l="1"/>
  <c r="D157" i="4"/>
  <c r="C160" i="3"/>
  <c r="D159" i="3"/>
  <c r="D157" i="2"/>
  <c r="C158" i="2"/>
  <c r="D156" i="1"/>
  <c r="C157" i="1"/>
  <c r="D158" i="4" l="1"/>
  <c r="C159" i="4"/>
  <c r="C161" i="3"/>
  <c r="D160" i="3"/>
  <c r="D158" i="2"/>
  <c r="C159" i="2"/>
  <c r="D157" i="1"/>
  <c r="C158" i="1"/>
  <c r="C160" i="4" l="1"/>
  <c r="D159" i="4"/>
  <c r="C162" i="3"/>
  <c r="D161" i="3"/>
  <c r="D159" i="2"/>
  <c r="C160" i="2"/>
  <c r="C159" i="1"/>
  <c r="D158" i="1"/>
  <c r="C161" i="4" l="1"/>
  <c r="D160" i="4"/>
  <c r="D162" i="3"/>
  <c r="C163" i="3"/>
  <c r="D160" i="2"/>
  <c r="C161" i="2"/>
  <c r="D159" i="1"/>
  <c r="C160" i="1"/>
  <c r="C162" i="4" l="1"/>
  <c r="D161" i="4"/>
  <c r="C164" i="3"/>
  <c r="D163" i="3"/>
  <c r="D161" i="2"/>
  <c r="C162" i="2"/>
  <c r="D160" i="1"/>
  <c r="C161" i="1"/>
  <c r="D162" i="4" l="1"/>
  <c r="C163" i="4"/>
  <c r="C165" i="3"/>
  <c r="D164" i="3"/>
  <c r="D162" i="2"/>
  <c r="C163" i="2"/>
  <c r="D161" i="1"/>
  <c r="C162" i="1"/>
  <c r="C164" i="4" l="1"/>
  <c r="D163" i="4"/>
  <c r="C166" i="3"/>
  <c r="D165" i="3"/>
  <c r="D163" i="2"/>
  <c r="C164" i="2"/>
  <c r="D162" i="1"/>
  <c r="C163" i="1"/>
  <c r="C165" i="4" l="1"/>
  <c r="D164" i="4"/>
  <c r="D166" i="3"/>
  <c r="C167" i="3"/>
  <c r="D164" i="2"/>
  <c r="C165" i="2"/>
  <c r="D163" i="1"/>
  <c r="C164" i="1"/>
  <c r="C166" i="4" l="1"/>
  <c r="D165" i="4"/>
  <c r="C168" i="3"/>
  <c r="D167" i="3"/>
  <c r="D165" i="2"/>
  <c r="C166" i="2"/>
  <c r="D164" i="1"/>
  <c r="C165" i="1"/>
  <c r="D166" i="4" l="1"/>
  <c r="C167" i="4"/>
  <c r="C169" i="3"/>
  <c r="D168" i="3"/>
  <c r="D166" i="2"/>
  <c r="C167" i="2"/>
  <c r="C166" i="1"/>
  <c r="D165" i="1"/>
  <c r="C168" i="4" l="1"/>
  <c r="D167" i="4"/>
  <c r="C170" i="3"/>
  <c r="D169" i="3"/>
  <c r="D167" i="2"/>
  <c r="C168" i="2"/>
  <c r="C167" i="1"/>
  <c r="D166" i="1"/>
  <c r="C169" i="4" l="1"/>
  <c r="D168" i="4"/>
  <c r="D170" i="3"/>
  <c r="C171" i="3"/>
  <c r="D168" i="2"/>
  <c r="C169" i="2"/>
  <c r="C168" i="1"/>
  <c r="D167" i="1"/>
  <c r="C170" i="4" l="1"/>
  <c r="D169" i="4"/>
  <c r="C172" i="3"/>
  <c r="D171" i="3"/>
  <c r="D169" i="2"/>
  <c r="C170" i="2"/>
  <c r="D168" i="1"/>
  <c r="C169" i="1"/>
  <c r="D170" i="4" l="1"/>
  <c r="C171" i="4"/>
  <c r="C173" i="3"/>
  <c r="D172" i="3"/>
  <c r="D170" i="2"/>
  <c r="C171" i="2"/>
  <c r="D169" i="1"/>
  <c r="C170" i="1"/>
  <c r="C172" i="4" l="1"/>
  <c r="D171" i="4"/>
  <c r="C174" i="3"/>
  <c r="D173" i="3"/>
  <c r="D171" i="2"/>
  <c r="C172" i="2"/>
  <c r="D170" i="1"/>
  <c r="C171" i="1"/>
  <c r="C173" i="4" l="1"/>
  <c r="D172" i="4"/>
  <c r="D174" i="3"/>
  <c r="C175" i="3"/>
  <c r="D172" i="2"/>
  <c r="C173" i="2"/>
  <c r="D171" i="1"/>
  <c r="C172" i="1"/>
  <c r="C174" i="4" l="1"/>
  <c r="D173" i="4"/>
  <c r="C176" i="3"/>
  <c r="D175" i="3"/>
  <c r="D173" i="2"/>
  <c r="C174" i="2"/>
  <c r="D172" i="1"/>
  <c r="C173" i="1"/>
  <c r="D174" i="4" l="1"/>
  <c r="C175" i="4"/>
  <c r="C177" i="3"/>
  <c r="D176" i="3"/>
  <c r="D174" i="2"/>
  <c r="C175" i="2"/>
  <c r="C174" i="1"/>
  <c r="D173" i="1"/>
  <c r="D175" i="4" l="1"/>
  <c r="C176" i="4"/>
  <c r="C178" i="3"/>
  <c r="D177" i="3"/>
  <c r="D175" i="2"/>
  <c r="C176" i="2"/>
  <c r="C175" i="1"/>
  <c r="D174" i="1"/>
  <c r="C177" i="4" l="1"/>
  <c r="D176" i="4"/>
  <c r="D178" i="3"/>
  <c r="C179" i="3"/>
  <c r="C177" i="2"/>
  <c r="D176" i="2"/>
  <c r="C176" i="1"/>
  <c r="D175" i="1"/>
  <c r="C178" i="4" l="1"/>
  <c r="D177" i="4"/>
  <c r="C180" i="3"/>
  <c r="D179" i="3"/>
  <c r="D177" i="2"/>
  <c r="C178" i="2"/>
  <c r="D176" i="1"/>
  <c r="C177" i="1"/>
  <c r="D178" i="4" l="1"/>
  <c r="C179" i="4"/>
  <c r="C181" i="3"/>
  <c r="D180" i="3"/>
  <c r="D178" i="2"/>
  <c r="C179" i="2"/>
  <c r="D177" i="1"/>
  <c r="C178" i="1"/>
  <c r="C180" i="4" l="1"/>
  <c r="D179" i="4"/>
  <c r="C182" i="3"/>
  <c r="D181" i="3"/>
  <c r="D179" i="2"/>
  <c r="C180" i="2"/>
  <c r="C179" i="1"/>
  <c r="D178" i="1"/>
  <c r="C181" i="4" l="1"/>
  <c r="D180" i="4"/>
  <c r="D182" i="3"/>
  <c r="C183" i="3"/>
  <c r="D180" i="2"/>
  <c r="C181" i="2"/>
  <c r="D179" i="1"/>
  <c r="C180" i="1"/>
  <c r="C182" i="4" l="1"/>
  <c r="D181" i="4"/>
  <c r="C184" i="3"/>
  <c r="D183" i="3"/>
  <c r="D181" i="2"/>
  <c r="C182" i="2"/>
  <c r="D180" i="1"/>
  <c r="C181" i="1"/>
  <c r="D182" i="4" l="1"/>
  <c r="C183" i="4"/>
  <c r="C185" i="3"/>
  <c r="D184" i="3"/>
  <c r="D182" i="2"/>
  <c r="C183" i="2"/>
  <c r="C182" i="1"/>
  <c r="D181" i="1"/>
  <c r="C184" i="4" l="1"/>
  <c r="D183" i="4"/>
  <c r="C186" i="3"/>
  <c r="D185" i="3"/>
  <c r="D183" i="2"/>
  <c r="C184" i="2"/>
  <c r="D182" i="1"/>
  <c r="C183" i="1"/>
  <c r="C185" i="4" l="1"/>
  <c r="D184" i="4"/>
  <c r="D186" i="3"/>
  <c r="C187" i="3"/>
  <c r="C185" i="2"/>
  <c r="D184" i="2"/>
  <c r="C184" i="1"/>
  <c r="D183" i="1"/>
  <c r="C186" i="4" l="1"/>
  <c r="D185" i="4"/>
  <c r="C188" i="3"/>
  <c r="D187" i="3"/>
  <c r="D185" i="2"/>
  <c r="C186" i="2"/>
  <c r="D184" i="1"/>
  <c r="C185" i="1"/>
  <c r="D186" i="4" l="1"/>
  <c r="C187" i="4"/>
  <c r="C189" i="3"/>
  <c r="D188" i="3"/>
  <c r="D186" i="2"/>
  <c r="C187" i="2"/>
  <c r="C186" i="1"/>
  <c r="D185" i="1"/>
  <c r="C188" i="4" l="1"/>
  <c r="D187" i="4"/>
  <c r="C190" i="3"/>
  <c r="D189" i="3"/>
  <c r="D187" i="2"/>
  <c r="C188" i="2"/>
  <c r="D186" i="1"/>
  <c r="C187" i="1"/>
  <c r="C189" i="4" l="1"/>
  <c r="D188" i="4"/>
  <c r="D190" i="3"/>
  <c r="C191" i="3"/>
  <c r="D188" i="2"/>
  <c r="C189" i="2"/>
  <c r="C188" i="1"/>
  <c r="D187" i="1"/>
  <c r="C190" i="4" l="1"/>
  <c r="D189" i="4"/>
  <c r="C192" i="3"/>
  <c r="D191" i="3"/>
  <c r="D189" i="2"/>
  <c r="C190" i="2"/>
  <c r="D188" i="1"/>
  <c r="C189" i="1"/>
  <c r="D190" i="4" l="1"/>
  <c r="C191" i="4"/>
  <c r="C193" i="3"/>
  <c r="D192" i="3"/>
  <c r="D190" i="2"/>
  <c r="C191" i="2"/>
  <c r="C190" i="1"/>
  <c r="D189" i="1"/>
  <c r="C192" i="4" l="1"/>
  <c r="D191" i="4"/>
  <c r="C194" i="3"/>
  <c r="D193" i="3"/>
  <c r="D191" i="2"/>
  <c r="C192" i="2"/>
  <c r="C191" i="1"/>
  <c r="D190" i="1"/>
  <c r="C193" i="4" l="1"/>
  <c r="D192" i="4"/>
  <c r="D194" i="3"/>
  <c r="C195" i="3"/>
  <c r="D192" i="2"/>
  <c r="C193" i="2"/>
  <c r="C192" i="1"/>
  <c r="D191" i="1"/>
  <c r="C194" i="4" l="1"/>
  <c r="D193" i="4"/>
  <c r="C196" i="3"/>
  <c r="D195" i="3"/>
  <c r="C194" i="2"/>
  <c r="D193" i="2"/>
  <c r="D192" i="1"/>
  <c r="C193" i="1"/>
  <c r="D194" i="4" l="1"/>
  <c r="C195" i="4"/>
  <c r="C197" i="3"/>
  <c r="D196" i="3"/>
  <c r="D194" i="2"/>
  <c r="C195" i="2"/>
  <c r="D193" i="1"/>
  <c r="C194" i="1"/>
  <c r="C196" i="4" l="1"/>
  <c r="D195" i="4"/>
  <c r="C198" i="3"/>
  <c r="D197" i="3"/>
  <c r="D195" i="2"/>
  <c r="C196" i="2"/>
  <c r="C195" i="1"/>
  <c r="D194" i="1"/>
  <c r="C197" i="4" l="1"/>
  <c r="D196" i="4"/>
  <c r="D198" i="3"/>
  <c r="C199" i="3"/>
  <c r="C197" i="2"/>
  <c r="D196" i="2"/>
  <c r="D195" i="1"/>
  <c r="C196" i="1"/>
  <c r="C198" i="4" l="1"/>
  <c r="D197" i="4"/>
  <c r="C200" i="3"/>
  <c r="D199" i="3"/>
  <c r="C198" i="2"/>
  <c r="D197" i="2"/>
  <c r="D196" i="1"/>
  <c r="C197" i="1"/>
  <c r="D198" i="4" l="1"/>
  <c r="C199" i="4"/>
  <c r="C201" i="3"/>
  <c r="D200" i="3"/>
  <c r="D198" i="2"/>
  <c r="C199" i="2"/>
  <c r="C198" i="1"/>
  <c r="D197" i="1"/>
  <c r="C200" i="4" l="1"/>
  <c r="D199" i="4"/>
  <c r="C202" i="3"/>
  <c r="D202" i="3" s="1"/>
  <c r="D201" i="3"/>
  <c r="D199" i="2"/>
  <c r="C200" i="2"/>
  <c r="D198" i="1"/>
  <c r="C199" i="1"/>
  <c r="C201" i="4" l="1"/>
  <c r="D200" i="4"/>
  <c r="D200" i="2"/>
  <c r="C201" i="2"/>
  <c r="C200" i="1"/>
  <c r="D199" i="1"/>
  <c r="C202" i="4" l="1"/>
  <c r="D202" i="4" s="1"/>
  <c r="D201" i="4"/>
  <c r="C202" i="2"/>
  <c r="D202" i="2" s="1"/>
  <c r="D201" i="2"/>
  <c r="D200" i="1"/>
  <c r="C201" i="1"/>
  <c r="C202" i="1" l="1"/>
  <c r="D202" i="1" s="1"/>
  <c r="D2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<sst xmlns="http://schemas.openxmlformats.org/spreadsheetml/2006/main" count="172" uniqueCount="64">
  <si>
    <t>f(15.237)</t>
  </si>
  <si>
    <t>Gauss 2</t>
  </si>
  <si>
    <t>Các sai phân được sử dụng</t>
  </si>
  <si>
    <t>Gauss 1</t>
  </si>
  <si>
    <t>Hệ số Lẻ</t>
  </si>
  <si>
    <t>b1</t>
  </si>
  <si>
    <t>b3</t>
  </si>
  <si>
    <t>b5</t>
  </si>
  <si>
    <t>b7</t>
  </si>
  <si>
    <t>Hệ số Chẵn</t>
  </si>
  <si>
    <t>b0</t>
  </si>
  <si>
    <t>b2</t>
  </si>
  <si>
    <t>b4</t>
  </si>
  <si>
    <t>b6</t>
  </si>
  <si>
    <t>b8</t>
  </si>
  <si>
    <t>Di/i!</t>
  </si>
  <si>
    <t>Lẻ</t>
  </si>
  <si>
    <t>chẵn</t>
  </si>
  <si>
    <t>lẻ</t>
  </si>
  <si>
    <t>D7</t>
  </si>
  <si>
    <t>D5</t>
  </si>
  <si>
    <t>D3</t>
  </si>
  <si>
    <t>D1</t>
  </si>
  <si>
    <t>D8</t>
  </si>
  <si>
    <t>D6</t>
  </si>
  <si>
    <t>D4</t>
  </si>
  <si>
    <t>D2</t>
  </si>
  <si>
    <t>D0</t>
  </si>
  <si>
    <t>sterlin</t>
  </si>
  <si>
    <t>y</t>
  </si>
  <si>
    <t>h</t>
  </si>
  <si>
    <t>D9</t>
  </si>
  <si>
    <t>phần chẵn</t>
  </si>
  <si>
    <t>chia !</t>
  </si>
  <si>
    <t>phần lẻ</t>
  </si>
  <si>
    <t>Bảng nhân</t>
  </si>
  <si>
    <t>Hệ số bậc chẵn</t>
  </si>
  <si>
    <t>Hệ số bậc lẻ</t>
  </si>
  <si>
    <t>b9</t>
  </si>
  <si>
    <t>NS BASSEL</t>
  </si>
  <si>
    <t>f(x)</t>
  </si>
  <si>
    <t>TSP1</t>
  </si>
  <si>
    <t>TSP2</t>
  </si>
  <si>
    <t>TSP3</t>
  </si>
  <si>
    <t>TSP4</t>
  </si>
  <si>
    <t>TSP5</t>
  </si>
  <si>
    <t>NS Newton nhé</t>
  </si>
  <si>
    <t>KQ: 1.533</t>
  </si>
  <si>
    <t>PP lặp NSNewton tiến từ x_k</t>
  </si>
  <si>
    <t>PP lặp NSNewton lùi từ x_k</t>
  </si>
  <si>
    <t>x</t>
  </si>
  <si>
    <t>y = f(x)</t>
  </si>
  <si>
    <t>x*</t>
  </si>
  <si>
    <t xml:space="preserve">h </t>
  </si>
  <si>
    <t>Số mốc</t>
  </si>
  <si>
    <t>STT</t>
  </si>
  <si>
    <t>Phần chẵn</t>
  </si>
  <si>
    <t>Chia !</t>
  </si>
  <si>
    <t>Phần lẻ</t>
  </si>
  <si>
    <t>Hệ số chẵn</t>
  </si>
  <si>
    <t>Hệ số lẻ</t>
  </si>
  <si>
    <t>f(5.38)</t>
  </si>
  <si>
    <t>f'(5.38)</t>
  </si>
  <si>
    <t>DTNS theo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</si>
</sst>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3" fillId="0" borderId="0" xfId="0" applyNumberFormat="1" applyFont="1"/>
    <xf numFmtId="164" fontId="3" fillId="0" borderId="0" xfId="0" applyNumberFormat="1" applyFont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/>
    <xf numFmtId="0" fontId="2" fillId="2" borderId="0" xfId="0" applyFont="1" applyFill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164" fontId="0" fillId="0" borderId="11" xfId="0" applyNumberFormat="1" applyBorder="1"/>
    <xf numFmtId="165" fontId="5" fillId="0" borderId="0" xfId="0" applyNumberFormat="1" applyFont="1"/>
    <xf numFmtId="164" fontId="5" fillId="0" borderId="0" xfId="0" applyNumberFormat="1" applyFont="1"/>
    <xf numFmtId="165" fontId="6" fillId="0" borderId="0" xfId="0" applyNumberFormat="1" applyFont="1"/>
    <xf numFmtId="165" fontId="0" fillId="0" borderId="0" xfId="0" applyNumberForma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11" xfId="0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0" fontId="2" fillId="3" borderId="0" xfId="0" applyFont="1" applyFill="1"/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165" fontId="4" fillId="0" borderId="0" xfId="0" applyNumberFormat="1" applyFont="1"/>
    <xf numFmtId="164" fontId="7" fillId="0" borderId="0" xfId="0" applyNumberFormat="1" applyFont="1"/>
    <xf numFmtId="0" fontId="6" fillId="0" borderId="0" xfId="0" applyFont="1"/>
    <xf numFmtId="0" fontId="5" fillId="0" borderId="8" xfId="0" applyFont="1" applyBorder="1"/>
    <xf numFmtId="0" fontId="2" fillId="0" borderId="4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2" xfId="0" applyFont="1" applyBorder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E5A4-EEE3-4AEB-88D1-6802D41B72C9}">
  <dimension ref="B1:Y202"/>
  <sheetViews>
    <sheetView topLeftCell="E75" workbookViewId="0">
      <selection activeCell="R88" sqref="R88"/>
    </sheetView>
  </sheetViews>
  <sheetFormatPr defaultRowHeight="14.5" x14ac:dyDescent="0.35"/>
  <cols>
    <col min="7" max="7" width="10.6328125" customWidth="1"/>
    <col min="8" max="8" width="13.36328125" customWidth="1"/>
    <col min="9" max="13" width="12.453125" bestFit="1" customWidth="1"/>
    <col min="14" max="15" width="12" bestFit="1" customWidth="1"/>
    <col min="16" max="16" width="12.08984375" bestFit="1" customWidth="1"/>
    <col min="17" max="17" width="12.54296875" bestFit="1" customWidth="1"/>
    <col min="19" max="19" width="10.81640625" customWidth="1"/>
    <col min="20" max="20" width="12.453125" bestFit="1" customWidth="1"/>
    <col min="22" max="22" width="12" bestFit="1" customWidth="1"/>
    <col min="23" max="24" width="12.453125" bestFit="1" customWidth="1"/>
    <col min="25" max="25" width="12" bestFit="1" customWidth="1"/>
  </cols>
  <sheetData>
    <row r="1" spans="2:25" x14ac:dyDescent="0.35">
      <c r="B1" t="s">
        <v>30</v>
      </c>
      <c r="C1">
        <v>0.11799999999999999</v>
      </c>
      <c r="D1" t="s">
        <v>29</v>
      </c>
      <c r="E1" s="35">
        <v>15.237</v>
      </c>
      <c r="F1" s="35">
        <f>(E1-C2)/C1</f>
        <v>120.65254237288136</v>
      </c>
      <c r="I1" t="s">
        <v>27</v>
      </c>
      <c r="J1" t="s">
        <v>22</v>
      </c>
      <c r="K1" t="s">
        <v>26</v>
      </c>
      <c r="L1" t="s">
        <v>21</v>
      </c>
      <c r="M1" t="s">
        <v>25</v>
      </c>
      <c r="N1" t="s">
        <v>20</v>
      </c>
      <c r="O1" t="s">
        <v>24</v>
      </c>
      <c r="P1" t="s">
        <v>19</v>
      </c>
      <c r="Q1" t="s">
        <v>23</v>
      </c>
    </row>
    <row r="2" spans="2:25" ht="15" thickBot="1" x14ac:dyDescent="0.4">
      <c r="B2">
        <v>0</v>
      </c>
      <c r="C2">
        <v>1</v>
      </c>
      <c r="D2" s="1">
        <f t="shared" ref="D2:D65" si="0">ROUND(POWER(C2,1/4)+2*SIN(C2)-3*COS(C2),4)</f>
        <v>1.0620000000000001</v>
      </c>
      <c r="G2">
        <f>ROUND(F1-F2/2,0.5)</f>
        <v>121</v>
      </c>
      <c r="H2">
        <f>VLOOKUP(G2,B2:D202,2)</f>
        <v>15.278000000000027</v>
      </c>
      <c r="I2" s="1">
        <f t="shared" ref="I2:I10" si="1">VLOOKUP(G2,B2:D202,3)</f>
        <v>5.5377000000000001</v>
      </c>
      <c r="J2" s="26"/>
      <c r="K2" s="26"/>
      <c r="L2" s="26"/>
      <c r="M2" s="26"/>
      <c r="N2" s="26"/>
      <c r="O2" s="26"/>
      <c r="P2" s="26"/>
      <c r="S2" s="34" t="s">
        <v>28</v>
      </c>
      <c r="T2" s="2" t="s">
        <v>17</v>
      </c>
      <c r="U2" t="s">
        <v>27</v>
      </c>
      <c r="V2" t="s">
        <v>26</v>
      </c>
      <c r="W2" t="s">
        <v>25</v>
      </c>
      <c r="X2" t="s">
        <v>24</v>
      </c>
      <c r="Y2" t="s">
        <v>23</v>
      </c>
    </row>
    <row r="3" spans="2:25" ht="15" thickBot="1" x14ac:dyDescent="0.4">
      <c r="B3">
        <v>1</v>
      </c>
      <c r="C3">
        <f>B3+$C$1</f>
        <v>1.1179999999999999</v>
      </c>
      <c r="D3" s="1">
        <f t="shared" si="0"/>
        <v>1.5143</v>
      </c>
      <c r="G3">
        <v>117</v>
      </c>
      <c r="H3">
        <f t="shared" ref="H2:H10" si="2">VLOOKUP(G3,B3:D203,2)</f>
        <v>14.806000000000026</v>
      </c>
      <c r="I3" s="1">
        <f t="shared" si="1"/>
        <v>5.3909000000000002</v>
      </c>
      <c r="J3" s="26">
        <f t="shared" ref="J3:L10" si="3">I3-I2</f>
        <v>-0.14679999999999982</v>
      </c>
      <c r="K3" s="26"/>
      <c r="L3" s="26"/>
      <c r="M3" s="26"/>
      <c r="N3" s="26"/>
      <c r="O3" s="26"/>
      <c r="P3" s="26"/>
      <c r="U3" s="1">
        <f>I6</f>
        <v>5.5758999999999999</v>
      </c>
      <c r="V3" s="33">
        <f>K7</f>
        <v>-5.0099999999999589E-2</v>
      </c>
      <c r="W3" s="32">
        <f>M8</f>
        <v>4.9999999999883471E-4</v>
      </c>
      <c r="X3" s="32">
        <f>O9</f>
        <v>9.0000000000411973E-4</v>
      </c>
      <c r="Y3" s="31">
        <f>Q10</f>
        <v>0.30179999999998408</v>
      </c>
    </row>
    <row r="4" spans="2:25" x14ac:dyDescent="0.35">
      <c r="B4">
        <v>2</v>
      </c>
      <c r="C4">
        <f t="shared" ref="C4:C67" si="4">C3+$C$1</f>
        <v>1.2359999999999998</v>
      </c>
      <c r="D4" s="1">
        <f t="shared" si="0"/>
        <v>1.9576</v>
      </c>
      <c r="G4">
        <f t="shared" ref="G4:G10" si="5">G3+1</f>
        <v>118</v>
      </c>
      <c r="H4">
        <f t="shared" si="2"/>
        <v>14.924000000000026</v>
      </c>
      <c r="I4" s="1">
        <f t="shared" si="1"/>
        <v>5.5019999999999998</v>
      </c>
      <c r="J4" s="26">
        <f t="shared" si="3"/>
        <v>0.11109999999999953</v>
      </c>
      <c r="K4" s="26">
        <f t="shared" si="3"/>
        <v>0.25789999999999935</v>
      </c>
      <c r="L4" s="26"/>
      <c r="M4" s="26"/>
      <c r="N4" s="26"/>
      <c r="O4" s="26"/>
      <c r="P4" s="26"/>
    </row>
    <row r="5" spans="2:25" ht="15" thickBot="1" x14ac:dyDescent="0.4">
      <c r="B5">
        <v>3</v>
      </c>
      <c r="C5">
        <f t="shared" si="4"/>
        <v>1.3539999999999996</v>
      </c>
      <c r="D5" s="1">
        <f t="shared" si="0"/>
        <v>2.3866000000000001</v>
      </c>
      <c r="G5">
        <f t="shared" si="5"/>
        <v>119</v>
      </c>
      <c r="H5">
        <f t="shared" si="2"/>
        <v>15.042000000000026</v>
      </c>
      <c r="I5" s="1">
        <f t="shared" si="1"/>
        <v>5.5640000000000001</v>
      </c>
      <c r="J5" s="26">
        <f t="shared" si="3"/>
        <v>6.2000000000000277E-2</v>
      </c>
      <c r="K5" s="26">
        <f t="shared" si="3"/>
        <v>-4.9099999999999255E-2</v>
      </c>
      <c r="L5" s="26">
        <f t="shared" si="3"/>
        <v>-0.30699999999999861</v>
      </c>
      <c r="M5" s="26"/>
      <c r="N5" s="26"/>
      <c r="O5" s="25"/>
      <c r="P5" s="26"/>
      <c r="U5" t="s">
        <v>22</v>
      </c>
      <c r="V5" t="s">
        <v>21</v>
      </c>
      <c r="W5" t="s">
        <v>20</v>
      </c>
      <c r="X5" t="s">
        <v>19</v>
      </c>
    </row>
    <row r="6" spans="2:25" ht="15" thickBot="1" x14ac:dyDescent="0.4">
      <c r="B6">
        <v>4</v>
      </c>
      <c r="C6">
        <f t="shared" si="4"/>
        <v>1.4719999999999995</v>
      </c>
      <c r="D6" s="1">
        <f t="shared" si="0"/>
        <v>2.7957999999999998</v>
      </c>
      <c r="G6">
        <f t="shared" si="5"/>
        <v>120</v>
      </c>
      <c r="H6" s="17">
        <f t="shared" si="2"/>
        <v>15.160000000000027</v>
      </c>
      <c r="I6" s="24">
        <f t="shared" si="1"/>
        <v>5.5758999999999999</v>
      </c>
      <c r="J6" s="12">
        <f t="shared" si="3"/>
        <v>1.18999999999998E-2</v>
      </c>
      <c r="K6" s="26">
        <f t="shared" si="3"/>
        <v>-5.0100000000000477E-2</v>
      </c>
      <c r="L6" s="26">
        <f t="shared" si="3"/>
        <v>-1.0000000000012221E-3</v>
      </c>
      <c r="M6" s="26">
        <f>L6-L5</f>
        <v>0.30599999999999739</v>
      </c>
      <c r="N6" s="26"/>
      <c r="O6" s="25"/>
      <c r="P6" s="26"/>
      <c r="T6" s="2" t="s">
        <v>18</v>
      </c>
      <c r="U6" s="30">
        <f>(J6+J7)/2</f>
        <v>-1.3149999999999995E-2</v>
      </c>
      <c r="V6" s="20">
        <f>(L7+L8)/2</f>
        <v>2.5000000000030553E-4</v>
      </c>
      <c r="W6" s="20">
        <f>(N8+N9)/2</f>
        <v>-5.0000000001215739E-5</v>
      </c>
      <c r="X6" s="19">
        <f>(P9+P10)/2</f>
        <v>-0.15269999999999584</v>
      </c>
    </row>
    <row r="7" spans="2:25" ht="15" thickBot="1" x14ac:dyDescent="0.4">
      <c r="B7">
        <v>5</v>
      </c>
      <c r="C7">
        <f t="shared" si="4"/>
        <v>1.5899999999999994</v>
      </c>
      <c r="D7" s="1">
        <f t="shared" si="0"/>
        <v>3.1802000000000001</v>
      </c>
      <c r="G7">
        <f t="shared" si="5"/>
        <v>121</v>
      </c>
      <c r="H7">
        <f t="shared" si="2"/>
        <v>15.278000000000027</v>
      </c>
      <c r="I7" s="1">
        <f t="shared" si="1"/>
        <v>5.5377000000000001</v>
      </c>
      <c r="J7" s="23">
        <f t="shared" si="3"/>
        <v>-3.819999999999979E-2</v>
      </c>
      <c r="K7" s="23">
        <f t="shared" si="3"/>
        <v>-5.0099999999999589E-2</v>
      </c>
      <c r="L7" s="12">
        <f t="shared" si="3"/>
        <v>8.8817841970012523E-16</v>
      </c>
      <c r="M7" s="26">
        <f>L7-L6</f>
        <v>1.0000000000021103E-3</v>
      </c>
      <c r="N7" s="26">
        <f>M7-M6</f>
        <v>-0.30499999999999527</v>
      </c>
      <c r="O7" s="25"/>
      <c r="P7" s="26"/>
    </row>
    <row r="8" spans="2:25" ht="15" thickBot="1" x14ac:dyDescent="0.4">
      <c r="B8">
        <v>6</v>
      </c>
      <c r="C8">
        <f t="shared" si="4"/>
        <v>1.7079999999999993</v>
      </c>
      <c r="D8" s="1">
        <f t="shared" si="0"/>
        <v>3.5347</v>
      </c>
      <c r="G8">
        <f t="shared" si="5"/>
        <v>122</v>
      </c>
      <c r="H8">
        <f t="shared" si="2"/>
        <v>15.396000000000027</v>
      </c>
      <c r="I8" s="1">
        <f t="shared" si="1"/>
        <v>5.4499000000000004</v>
      </c>
      <c r="J8" s="26">
        <f t="shared" si="3"/>
        <v>-8.7799999999999656E-2</v>
      </c>
      <c r="K8" s="26">
        <f t="shared" si="3"/>
        <v>-4.9599999999999866E-2</v>
      </c>
      <c r="L8" s="23">
        <f t="shared" si="3"/>
        <v>4.9999999999972289E-4</v>
      </c>
      <c r="M8" s="23">
        <f>L8-L7</f>
        <v>4.9999999999883471E-4</v>
      </c>
      <c r="N8" s="12">
        <f>M8-M7</f>
        <v>-5.000000000032756E-4</v>
      </c>
      <c r="O8" s="25">
        <f>N8-N7</f>
        <v>0.304499999999992</v>
      </c>
      <c r="P8" s="26"/>
      <c r="S8" t="s">
        <v>17</v>
      </c>
      <c r="T8" t="s">
        <v>15</v>
      </c>
      <c r="U8" s="29">
        <f>V3/2</f>
        <v>-2.5049999999999795E-2</v>
      </c>
      <c r="V8" s="28">
        <f>W3/(4*3*2)</f>
        <v>2.0833333333284781E-5</v>
      </c>
      <c r="W8" s="28">
        <f>X3/FACT(6)</f>
        <v>1.2500000000057218E-6</v>
      </c>
      <c r="X8" s="27">
        <f>Y3/FACT(8)</f>
        <v>7.4851190476186524E-6</v>
      </c>
    </row>
    <row r="9" spans="2:25" ht="15" thickBot="1" x14ac:dyDescent="0.4">
      <c r="B9">
        <v>7</v>
      </c>
      <c r="C9">
        <f t="shared" si="4"/>
        <v>1.8259999999999992</v>
      </c>
      <c r="D9" s="1">
        <f t="shared" si="0"/>
        <v>3.855</v>
      </c>
      <c r="G9">
        <f t="shared" si="5"/>
        <v>123</v>
      </c>
      <c r="H9">
        <f t="shared" si="2"/>
        <v>15.514000000000028</v>
      </c>
      <c r="I9" s="1">
        <f t="shared" si="1"/>
        <v>5.3139000000000003</v>
      </c>
      <c r="J9" s="26">
        <f t="shared" si="3"/>
        <v>-0.13600000000000012</v>
      </c>
      <c r="K9" s="26">
        <f t="shared" si="3"/>
        <v>-4.8200000000000465E-2</v>
      </c>
      <c r="L9" s="26">
        <f t="shared" si="3"/>
        <v>1.3999999999994017E-3</v>
      </c>
      <c r="M9" s="26">
        <f>L9-L8</f>
        <v>8.9999999999967883E-4</v>
      </c>
      <c r="N9" s="23">
        <f>M9-M8</f>
        <v>4.0000000000084412E-4</v>
      </c>
      <c r="O9" s="23">
        <f>N9-N8</f>
        <v>9.0000000000411973E-4</v>
      </c>
      <c r="P9" s="12">
        <f>O9-O8</f>
        <v>-0.30359999999998788</v>
      </c>
      <c r="S9" t="s">
        <v>16</v>
      </c>
      <c r="T9" t="s">
        <v>15</v>
      </c>
      <c r="U9" s="29">
        <f>U6</f>
        <v>-1.3149999999999995E-2</v>
      </c>
      <c r="V9" s="28">
        <f>V6/3/2</f>
        <v>4.1666666666717589E-5</v>
      </c>
      <c r="W9" s="28">
        <f>W6/5/4/3/2</f>
        <v>-4.1666666667679787E-7</v>
      </c>
      <c r="X9" s="27">
        <f>X6/7/6/5/4/3/2</f>
        <v>-3.0297619047618222E-5</v>
      </c>
    </row>
    <row r="10" spans="2:25" ht="15" thickBot="1" x14ac:dyDescent="0.4">
      <c r="B10">
        <v>8</v>
      </c>
      <c r="C10">
        <f t="shared" si="4"/>
        <v>1.9439999999999991</v>
      </c>
      <c r="D10" s="1">
        <f t="shared" si="0"/>
        <v>4.1368999999999998</v>
      </c>
      <c r="G10">
        <f t="shared" si="5"/>
        <v>124</v>
      </c>
      <c r="H10">
        <f t="shared" si="2"/>
        <v>15.632000000000028</v>
      </c>
      <c r="I10" s="1">
        <f t="shared" si="1"/>
        <v>5.1315</v>
      </c>
      <c r="J10" s="26">
        <f t="shared" si="3"/>
        <v>-0.18240000000000034</v>
      </c>
      <c r="K10" s="26">
        <f t="shared" si="3"/>
        <v>-4.6400000000000219E-2</v>
      </c>
      <c r="L10" s="26">
        <f t="shared" si="3"/>
        <v>1.8000000000002458E-3</v>
      </c>
      <c r="M10" s="26">
        <f>L10-L9</f>
        <v>4.0000000000084412E-4</v>
      </c>
      <c r="N10" s="26">
        <f>M10-M9</f>
        <v>-4.9999999999883471E-4</v>
      </c>
      <c r="O10" s="25">
        <f>N10-N9</f>
        <v>-8.9999999999967883E-4</v>
      </c>
      <c r="P10" s="23">
        <f>O10-O9</f>
        <v>-1.8000000000037986E-3</v>
      </c>
      <c r="Q10" s="23">
        <f>P10-P9</f>
        <v>0.30179999999998408</v>
      </c>
    </row>
    <row r="11" spans="2:25" ht="15" thickBot="1" x14ac:dyDescent="0.4">
      <c r="B11">
        <v>9</v>
      </c>
      <c r="C11">
        <f t="shared" si="4"/>
        <v>2.0619999999999989</v>
      </c>
      <c r="D11" s="1">
        <f t="shared" si="0"/>
        <v>4.3769</v>
      </c>
      <c r="F11" s="47" t="s">
        <v>2</v>
      </c>
      <c r="G11" s="47"/>
      <c r="H11" s="47"/>
      <c r="I11" s="24">
        <f>I6</f>
        <v>5.5758999999999999</v>
      </c>
      <c r="J11" s="24">
        <f>J7</f>
        <v>-3.819999999999979E-2</v>
      </c>
      <c r="K11" s="24">
        <f>K7</f>
        <v>-5.0099999999999589E-2</v>
      </c>
      <c r="L11" s="24">
        <f>L8</f>
        <v>4.9999999999972289E-4</v>
      </c>
      <c r="M11" s="24">
        <f>M8</f>
        <v>4.9999999999883471E-4</v>
      </c>
      <c r="N11" s="24">
        <f>N9</f>
        <v>4.0000000000084412E-4</v>
      </c>
      <c r="O11" s="24">
        <f>O9</f>
        <v>9.0000000000411973E-4</v>
      </c>
      <c r="P11" s="24">
        <f>P10</f>
        <v>-1.8000000000037986E-3</v>
      </c>
      <c r="Q11" s="23">
        <f>Q10</f>
        <v>0.30179999999998408</v>
      </c>
      <c r="T11" s="1"/>
      <c r="U11" s="11">
        <v>0</v>
      </c>
      <c r="V11" s="10">
        <v>0</v>
      </c>
      <c r="W11" s="10">
        <v>0</v>
      </c>
      <c r="X11" s="9">
        <v>1</v>
      </c>
    </row>
    <row r="12" spans="2:25" ht="15" thickBot="1" x14ac:dyDescent="0.4">
      <c r="B12">
        <v>10</v>
      </c>
      <c r="C12">
        <f t="shared" si="4"/>
        <v>2.1799999999999988</v>
      </c>
      <c r="D12" s="1">
        <f t="shared" si="0"/>
        <v>4.5720000000000001</v>
      </c>
      <c r="I12" s="22">
        <f>I11</f>
        <v>5.5758999999999999</v>
      </c>
      <c r="J12" s="21">
        <f>J11</f>
        <v>-3.819999999999979E-2</v>
      </c>
      <c r="K12" s="20">
        <f>K11/2</f>
        <v>-2.5049999999999795E-2</v>
      </c>
      <c r="L12" s="20">
        <f>L11/6</f>
        <v>8.3333333333287144E-5</v>
      </c>
      <c r="M12" s="20">
        <f>M11/24</f>
        <v>2.0833333333284781E-5</v>
      </c>
      <c r="N12" s="20">
        <f>N11/120</f>
        <v>3.3333333333403675E-6</v>
      </c>
      <c r="O12" s="20">
        <f>O11/720</f>
        <v>1.2500000000057218E-6</v>
      </c>
      <c r="P12" s="20">
        <f>P11/(7*6*5*4*3*2)</f>
        <v>-3.571428571436108E-7</v>
      </c>
      <c r="Q12" s="19">
        <f>Q11/(8*7*6*5*4*3*2)</f>
        <v>7.4851190476186524E-6</v>
      </c>
      <c r="T12">
        <v>1</v>
      </c>
      <c r="U12" s="8" cm="1">
        <f t="array" ref="U12:X12">V11:Y11-T12*U11:X11</f>
        <v>0</v>
      </c>
      <c r="V12">
        <v>0</v>
      </c>
      <c r="W12">
        <v>1</v>
      </c>
      <c r="X12" s="7">
        <v>-1</v>
      </c>
    </row>
    <row r="13" spans="2:25" ht="15" thickBot="1" x14ac:dyDescent="0.4">
      <c r="B13">
        <v>11</v>
      </c>
      <c r="C13">
        <f t="shared" si="4"/>
        <v>2.2979999999999987</v>
      </c>
      <c r="D13" s="1">
        <f t="shared" si="0"/>
        <v>4.7195999999999998</v>
      </c>
      <c r="T13">
        <v>4</v>
      </c>
      <c r="U13" s="8" cm="1">
        <f t="array" ref="U13:X13">V12:Y12-T13*U12:X12</f>
        <v>0</v>
      </c>
      <c r="V13">
        <v>1</v>
      </c>
      <c r="W13">
        <v>-5</v>
      </c>
      <c r="X13" s="7">
        <v>4</v>
      </c>
    </row>
    <row r="14" spans="2:25" ht="15" thickBot="1" x14ac:dyDescent="0.4">
      <c r="B14">
        <v>12</v>
      </c>
      <c r="C14">
        <f t="shared" si="4"/>
        <v>2.4159999999999986</v>
      </c>
      <c r="D14" s="1">
        <f t="shared" si="0"/>
        <v>4.8182</v>
      </c>
      <c r="I14" s="11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9">
        <v>1</v>
      </c>
      <c r="T14">
        <v>9</v>
      </c>
      <c r="U14" s="6" cm="1">
        <f t="array" ref="U14:X14">V13:Y13-T14*U13:X13</f>
        <v>1</v>
      </c>
      <c r="V14" s="5">
        <v>-14</v>
      </c>
      <c r="W14" s="5">
        <v>49</v>
      </c>
      <c r="X14" s="4">
        <v>-36</v>
      </c>
    </row>
    <row r="15" spans="2:25" x14ac:dyDescent="0.35">
      <c r="B15">
        <v>13</v>
      </c>
      <c r="C15">
        <f t="shared" si="4"/>
        <v>2.5339999999999985</v>
      </c>
      <c r="D15" s="1">
        <f t="shared" si="0"/>
        <v>4.8665000000000003</v>
      </c>
      <c r="H15">
        <v>0</v>
      </c>
      <c r="I15" s="8" cm="1">
        <f t="array" ref="I15:Q15">J14:R14-H15*I14:Q14</f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 s="7">
        <v>0</v>
      </c>
    </row>
    <row r="16" spans="2:25" x14ac:dyDescent="0.35">
      <c r="B16">
        <v>14</v>
      </c>
      <c r="C16">
        <f t="shared" si="4"/>
        <v>2.6519999999999984</v>
      </c>
      <c r="D16" s="1">
        <f t="shared" si="0"/>
        <v>4.8642000000000003</v>
      </c>
      <c r="H16">
        <v>1</v>
      </c>
      <c r="I16" s="8" cm="1">
        <f t="array" ref="I16:Q16">J15:R15-H16*I15:Q15</f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-1</v>
      </c>
      <c r="Q16" s="7">
        <v>0</v>
      </c>
      <c r="T16" t="s">
        <v>14</v>
      </c>
      <c r="U16" t="s">
        <v>13</v>
      </c>
      <c r="V16" t="s">
        <v>12</v>
      </c>
      <c r="W16" t="s">
        <v>11</v>
      </c>
      <c r="X16" t="s">
        <v>10</v>
      </c>
    </row>
    <row r="17" spans="2:24" x14ac:dyDescent="0.35">
      <c r="B17">
        <v>15</v>
      </c>
      <c r="C17">
        <f t="shared" si="4"/>
        <v>2.7699999999999982</v>
      </c>
      <c r="D17" s="1">
        <f t="shared" si="0"/>
        <v>4.8114999999999997</v>
      </c>
      <c r="H17">
        <v>-1</v>
      </c>
      <c r="I17" s="8" cm="1">
        <f t="array" ref="I17:Q17">J16:R16-H17*I16:Q16</f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-1</v>
      </c>
      <c r="Q17" s="7">
        <v>0</v>
      </c>
      <c r="S17" t="s">
        <v>9</v>
      </c>
      <c r="T17" cm="1">
        <f t="array" ref="T17:W17">MMULT(U8:X8,U11:X14)</f>
        <v>7.4851190476186524E-6</v>
      </c>
      <c r="U17">
        <v>-1.0354166666665541E-4</v>
      </c>
      <c r="V17">
        <v>3.8135416666657012E-4</v>
      </c>
      <c r="W17">
        <v>-2.533529761904733E-2</v>
      </c>
      <c r="X17" s="1">
        <f>U3</f>
        <v>5.5758999999999999</v>
      </c>
    </row>
    <row r="18" spans="2:24" x14ac:dyDescent="0.35">
      <c r="B18">
        <v>16</v>
      </c>
      <c r="C18">
        <f t="shared" si="4"/>
        <v>2.8879999999999981</v>
      </c>
      <c r="D18" s="1">
        <f t="shared" si="0"/>
        <v>4.7093999999999996</v>
      </c>
      <c r="H18">
        <v>2</v>
      </c>
      <c r="I18" s="8" cm="1">
        <f t="array" ref="I18:Q18">J17:R17-H18*I17:Q17</f>
        <v>0</v>
      </c>
      <c r="J18">
        <v>0</v>
      </c>
      <c r="K18">
        <v>0</v>
      </c>
      <c r="L18">
        <v>0</v>
      </c>
      <c r="M18">
        <v>1</v>
      </c>
      <c r="N18">
        <v>-2</v>
      </c>
      <c r="O18">
        <v>-1</v>
      </c>
      <c r="P18">
        <v>2</v>
      </c>
      <c r="Q18" s="7">
        <v>0</v>
      </c>
      <c r="T18" t="s">
        <v>8</v>
      </c>
      <c r="U18" t="s">
        <v>7</v>
      </c>
      <c r="V18" t="s">
        <v>6</v>
      </c>
      <c r="W18" t="s">
        <v>5</v>
      </c>
    </row>
    <row r="19" spans="2:24" x14ac:dyDescent="0.35">
      <c r="B19">
        <v>17</v>
      </c>
      <c r="C19">
        <f t="shared" si="4"/>
        <v>3.005999999999998</v>
      </c>
      <c r="D19" s="1">
        <f t="shared" si="0"/>
        <v>4.5595999999999997</v>
      </c>
      <c r="H19">
        <v>-2</v>
      </c>
      <c r="I19" s="8" cm="1">
        <f t="array" ref="I19:Q19">J18:R18-H19*I18:Q18</f>
        <v>0</v>
      </c>
      <c r="J19">
        <v>0</v>
      </c>
      <c r="K19">
        <v>0</v>
      </c>
      <c r="L19">
        <v>1</v>
      </c>
      <c r="M19">
        <v>0</v>
      </c>
      <c r="N19">
        <v>-5</v>
      </c>
      <c r="O19">
        <v>0</v>
      </c>
      <c r="P19">
        <v>4</v>
      </c>
      <c r="Q19" s="7">
        <v>0</v>
      </c>
      <c r="S19" t="s">
        <v>4</v>
      </c>
      <c r="T19" cm="1">
        <f t="array" ref="T19:W19">MMULT(U9:X9,U11:X14)</f>
        <v>-3.0297619047618222E-5</v>
      </c>
      <c r="U19">
        <v>4.2374999999997829E-4</v>
      </c>
      <c r="V19">
        <v>-1.4408333333331912E-3</v>
      </c>
      <c r="W19">
        <v>-1.2102619047619164E-2</v>
      </c>
    </row>
    <row r="20" spans="2:24" x14ac:dyDescent="0.35">
      <c r="B20">
        <v>18</v>
      </c>
      <c r="C20">
        <f t="shared" si="4"/>
        <v>3.1239999999999979</v>
      </c>
      <c r="D20" s="1">
        <f t="shared" si="0"/>
        <v>4.3642000000000003</v>
      </c>
      <c r="H20">
        <v>3</v>
      </c>
      <c r="I20" s="8" cm="1">
        <f t="array" ref="I20:Q20">J19:R19-H20*I19:Q19</f>
        <v>0</v>
      </c>
      <c r="J20">
        <v>0</v>
      </c>
      <c r="K20">
        <v>1</v>
      </c>
      <c r="L20">
        <v>-3</v>
      </c>
      <c r="M20">
        <v>-5</v>
      </c>
      <c r="N20">
        <v>15</v>
      </c>
      <c r="O20">
        <v>4</v>
      </c>
      <c r="P20">
        <v>-12</v>
      </c>
      <c r="Q20" s="7">
        <v>0</v>
      </c>
    </row>
    <row r="21" spans="2:24" x14ac:dyDescent="0.35">
      <c r="B21">
        <v>19</v>
      </c>
      <c r="C21">
        <f t="shared" si="4"/>
        <v>3.2419999999999978</v>
      </c>
      <c r="D21" s="1">
        <f t="shared" si="0"/>
        <v>4.1262999999999996</v>
      </c>
      <c r="H21">
        <v>-3</v>
      </c>
      <c r="I21" s="8" cm="1">
        <f t="array" ref="I21:Q21">J20:R20-H21*I20:Q20</f>
        <v>0</v>
      </c>
      <c r="J21">
        <v>1</v>
      </c>
      <c r="K21">
        <v>0</v>
      </c>
      <c r="L21">
        <v>-14</v>
      </c>
      <c r="M21">
        <v>0</v>
      </c>
      <c r="N21">
        <v>49</v>
      </c>
      <c r="O21">
        <v>0</v>
      </c>
      <c r="P21">
        <v>-36</v>
      </c>
      <c r="Q21" s="7">
        <v>0</v>
      </c>
    </row>
    <row r="22" spans="2:24" ht="15" thickBot="1" x14ac:dyDescent="0.4">
      <c r="B22">
        <v>20</v>
      </c>
      <c r="C22">
        <f t="shared" si="4"/>
        <v>3.3599999999999977</v>
      </c>
      <c r="D22" s="1">
        <f t="shared" si="0"/>
        <v>3.8492999999999999</v>
      </c>
      <c r="H22">
        <v>4</v>
      </c>
      <c r="I22" s="6" cm="1">
        <f t="array" ref="I22:Q22">J21:R21-H22*I21:Q21</f>
        <v>1</v>
      </c>
      <c r="J22" s="5">
        <v>-4</v>
      </c>
      <c r="K22" s="5">
        <v>-14</v>
      </c>
      <c r="L22" s="5">
        <v>56</v>
      </c>
      <c r="M22" s="5">
        <v>49</v>
      </c>
      <c r="N22" s="5">
        <v>-196</v>
      </c>
      <c r="O22" s="5">
        <v>-36</v>
      </c>
      <c r="P22" s="5">
        <v>144</v>
      </c>
      <c r="Q22" s="4">
        <v>0</v>
      </c>
    </row>
    <row r="23" spans="2:24" x14ac:dyDescent="0.35">
      <c r="B23">
        <v>21</v>
      </c>
      <c r="C23">
        <f t="shared" si="4"/>
        <v>3.4779999999999975</v>
      </c>
      <c r="D23" s="1">
        <f t="shared" si="0"/>
        <v>3.5373000000000001</v>
      </c>
    </row>
    <row r="24" spans="2:24" x14ac:dyDescent="0.35">
      <c r="B24">
        <v>22</v>
      </c>
      <c r="C24">
        <f t="shared" si="4"/>
        <v>3.5959999999999974</v>
      </c>
      <c r="D24" s="1">
        <f t="shared" si="0"/>
        <v>3.1947999999999999</v>
      </c>
      <c r="P24" s="18"/>
      <c r="Q24" s="14"/>
    </row>
    <row r="25" spans="2:24" x14ac:dyDescent="0.35">
      <c r="B25">
        <v>23</v>
      </c>
      <c r="C25">
        <f t="shared" si="4"/>
        <v>3.7139999999999973</v>
      </c>
      <c r="D25" s="1">
        <f t="shared" si="0"/>
        <v>2.8267000000000002</v>
      </c>
      <c r="G25" s="17" t="s">
        <v>3</v>
      </c>
      <c r="I25" s="17" cm="1">
        <f t="array" ref="I25:Q25">MMULT(I12:Q12,I14:Q22)</f>
        <v>7.4851190476186524E-6</v>
      </c>
      <c r="J25" s="17">
        <v>-3.0297619047618222E-5</v>
      </c>
      <c r="K25" s="17">
        <v>-1.0354166666665541E-4</v>
      </c>
      <c r="L25" s="17">
        <v>4.2374999999997829E-4</v>
      </c>
      <c r="M25" s="17">
        <v>3.8135416666657012E-4</v>
      </c>
      <c r="N25" s="17">
        <v>-1.4408333333331912E-3</v>
      </c>
      <c r="O25" s="17">
        <v>-2.533529761904733E-2</v>
      </c>
      <c r="P25" s="15">
        <v>-1.2102619047619164E-2</v>
      </c>
      <c r="Q25" s="16">
        <v>5.5758999999999999</v>
      </c>
    </row>
    <row r="26" spans="2:24" x14ac:dyDescent="0.35">
      <c r="B26">
        <v>24</v>
      </c>
      <c r="C26">
        <f t="shared" si="4"/>
        <v>3.8319999999999972</v>
      </c>
      <c r="D26" s="1">
        <f t="shared" si="0"/>
        <v>2.4384000000000001</v>
      </c>
      <c r="N26" s="2"/>
      <c r="P26" s="15"/>
      <c r="Q26" s="14"/>
    </row>
    <row r="27" spans="2:24" x14ac:dyDescent="0.35">
      <c r="B27">
        <v>25</v>
      </c>
      <c r="C27">
        <f t="shared" si="4"/>
        <v>3.9499999999999971</v>
      </c>
      <c r="D27" s="1">
        <f t="shared" si="0"/>
        <v>2.0354000000000001</v>
      </c>
    </row>
    <row r="28" spans="2:24" x14ac:dyDescent="0.35">
      <c r="B28">
        <v>26</v>
      </c>
      <c r="C28">
        <f t="shared" si="4"/>
        <v>4.067999999999997</v>
      </c>
      <c r="D28" s="1">
        <f t="shared" si="0"/>
        <v>1.6234</v>
      </c>
    </row>
    <row r="29" spans="2:24" x14ac:dyDescent="0.35">
      <c r="B29">
        <v>27</v>
      </c>
      <c r="C29">
        <f t="shared" si="4"/>
        <v>4.1859999999999973</v>
      </c>
      <c r="D29" s="1">
        <f t="shared" si="0"/>
        <v>1.2083999999999999</v>
      </c>
      <c r="F29" s="48" t="s">
        <v>2</v>
      </c>
      <c r="G29" s="48"/>
      <c r="H29" s="48"/>
      <c r="I29" s="13">
        <f>I6</f>
        <v>5.5758999999999999</v>
      </c>
      <c r="J29" s="12">
        <f>J6</f>
        <v>1.18999999999998E-2</v>
      </c>
      <c r="K29" s="12">
        <f>K7</f>
        <v>-5.0099999999999589E-2</v>
      </c>
      <c r="L29" s="12">
        <f>L7</f>
        <v>8.8817841970012523E-16</v>
      </c>
      <c r="M29" s="12">
        <f>M8</f>
        <v>4.9999999999883471E-4</v>
      </c>
      <c r="N29" s="12">
        <f>N8</f>
        <v>-5.000000000032756E-4</v>
      </c>
      <c r="O29" s="12">
        <f>O9</f>
        <v>9.0000000000411973E-4</v>
      </c>
      <c r="P29" s="12">
        <f>P9</f>
        <v>-0.30359999999998788</v>
      </c>
      <c r="Q29" s="12">
        <f>Q10</f>
        <v>0.30179999999998408</v>
      </c>
    </row>
    <row r="30" spans="2:24" x14ac:dyDescent="0.35">
      <c r="B30">
        <v>28</v>
      </c>
      <c r="C30">
        <f t="shared" si="4"/>
        <v>4.3039999999999976</v>
      </c>
      <c r="D30" s="1">
        <f t="shared" si="0"/>
        <v>0.79620000000000002</v>
      </c>
      <c r="I30" s="1">
        <f>I29</f>
        <v>5.5758999999999999</v>
      </c>
      <c r="J30" s="1">
        <f>J29</f>
        <v>1.18999999999998E-2</v>
      </c>
      <c r="K30">
        <f>K29/2</f>
        <v>-2.5049999999999795E-2</v>
      </c>
      <c r="L30">
        <f>L29/6</f>
        <v>1.4802973661668753E-16</v>
      </c>
      <c r="M30">
        <f>M29/24</f>
        <v>2.0833333333284781E-5</v>
      </c>
      <c r="N30">
        <f>N29/120</f>
        <v>-4.1666666666939634E-6</v>
      </c>
      <c r="O30">
        <f>O29/720</f>
        <v>1.2500000000057218E-6</v>
      </c>
      <c r="P30">
        <f>P29/(7*6*5*4*3*2)</f>
        <v>-6.0238095238092831E-5</v>
      </c>
      <c r="Q30">
        <f>Q29/(8*7*6*5*4*3*2)</f>
        <v>7.4851190476186524E-6</v>
      </c>
    </row>
    <row r="31" spans="2:24" ht="15" thickBot="1" x14ac:dyDescent="0.4">
      <c r="B31">
        <v>29</v>
      </c>
      <c r="C31">
        <f t="shared" si="4"/>
        <v>4.4219999999999979</v>
      </c>
      <c r="D31" s="1">
        <f t="shared" si="0"/>
        <v>0.39279999999999998</v>
      </c>
    </row>
    <row r="32" spans="2:24" x14ac:dyDescent="0.35">
      <c r="B32">
        <v>30</v>
      </c>
      <c r="C32">
        <f t="shared" si="4"/>
        <v>4.5399999999999983</v>
      </c>
      <c r="D32" s="1">
        <f t="shared" si="0"/>
        <v>4.0000000000000001E-3</v>
      </c>
      <c r="H32" s="1"/>
      <c r="I32" s="11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9">
        <v>1</v>
      </c>
    </row>
    <row r="33" spans="2:19" x14ac:dyDescent="0.35">
      <c r="B33">
        <v>31</v>
      </c>
      <c r="C33">
        <f t="shared" si="4"/>
        <v>4.6579999999999986</v>
      </c>
      <c r="D33" s="1">
        <f t="shared" si="0"/>
        <v>-0.3649</v>
      </c>
      <c r="H33">
        <v>0</v>
      </c>
      <c r="I33" s="8" cm="1">
        <f t="array" ref="I33:Q33">J32:R32-H33*I32:Q32</f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 s="7">
        <v>0</v>
      </c>
    </row>
    <row r="34" spans="2:19" x14ac:dyDescent="0.35">
      <c r="B34">
        <v>32</v>
      </c>
      <c r="C34">
        <f t="shared" si="4"/>
        <v>4.7759999999999989</v>
      </c>
      <c r="D34" s="1">
        <f t="shared" si="0"/>
        <v>-0.70830000000000004</v>
      </c>
      <c r="H34">
        <v>-1</v>
      </c>
      <c r="I34" s="8" cm="1">
        <f t="array" ref="I34:Q34">J33:R33-H34*I33:Q33</f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 s="7">
        <v>0</v>
      </c>
    </row>
    <row r="35" spans="2:19" x14ac:dyDescent="0.35">
      <c r="B35">
        <v>33</v>
      </c>
      <c r="C35">
        <f t="shared" si="4"/>
        <v>4.8939999999999992</v>
      </c>
      <c r="D35" s="1">
        <f t="shared" si="0"/>
        <v>-1.0216000000000001</v>
      </c>
      <c r="H35">
        <v>1</v>
      </c>
      <c r="I35" s="8" cm="1">
        <f t="array" ref="I35:Q35">J34:R34-H35*I34:Q34</f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-1</v>
      </c>
      <c r="Q35" s="7">
        <v>0</v>
      </c>
    </row>
    <row r="36" spans="2:19" x14ac:dyDescent="0.35">
      <c r="B36">
        <v>34</v>
      </c>
      <c r="C36">
        <f t="shared" si="4"/>
        <v>5.0119999999999996</v>
      </c>
      <c r="D36" s="1">
        <f t="shared" si="0"/>
        <v>-1.3001</v>
      </c>
      <c r="H36">
        <v>-2</v>
      </c>
      <c r="I36" s="8" cm="1">
        <f t="array" ref="I36:Q36">J35:R35-H36*I35:Q35</f>
        <v>0</v>
      </c>
      <c r="J36">
        <v>0</v>
      </c>
      <c r="K36">
        <v>0</v>
      </c>
      <c r="L36">
        <v>0</v>
      </c>
      <c r="M36">
        <v>1</v>
      </c>
      <c r="N36">
        <v>2</v>
      </c>
      <c r="O36">
        <v>-1</v>
      </c>
      <c r="P36">
        <v>-2</v>
      </c>
      <c r="Q36" s="7">
        <v>0</v>
      </c>
    </row>
    <row r="37" spans="2:19" x14ac:dyDescent="0.35">
      <c r="B37">
        <v>35</v>
      </c>
      <c r="C37">
        <f t="shared" si="4"/>
        <v>5.13</v>
      </c>
      <c r="D37" s="1">
        <f t="shared" si="0"/>
        <v>-1.5399</v>
      </c>
      <c r="H37">
        <v>2</v>
      </c>
      <c r="I37" s="8" cm="1">
        <f t="array" ref="I37:Q37">J36:R36-H37*I36:Q36</f>
        <v>0</v>
      </c>
      <c r="J37">
        <v>0</v>
      </c>
      <c r="K37">
        <v>0</v>
      </c>
      <c r="L37">
        <v>1</v>
      </c>
      <c r="M37">
        <v>0</v>
      </c>
      <c r="N37">
        <v>-5</v>
      </c>
      <c r="O37">
        <v>0</v>
      </c>
      <c r="P37">
        <v>4</v>
      </c>
      <c r="Q37" s="7">
        <v>0</v>
      </c>
    </row>
    <row r="38" spans="2:19" x14ac:dyDescent="0.35">
      <c r="B38">
        <v>36</v>
      </c>
      <c r="C38">
        <f t="shared" si="4"/>
        <v>5.2480000000000002</v>
      </c>
      <c r="D38" s="1">
        <f t="shared" si="0"/>
        <v>-1.7375</v>
      </c>
      <c r="H38">
        <v>-3</v>
      </c>
      <c r="I38" s="8" cm="1">
        <f t="array" ref="I38:Q38">J37:R37-H38*I37:Q37</f>
        <v>0</v>
      </c>
      <c r="J38">
        <v>0</v>
      </c>
      <c r="K38">
        <v>1</v>
      </c>
      <c r="L38">
        <v>3</v>
      </c>
      <c r="M38">
        <v>-5</v>
      </c>
      <c r="N38">
        <v>-15</v>
      </c>
      <c r="O38">
        <v>4</v>
      </c>
      <c r="P38">
        <v>12</v>
      </c>
      <c r="Q38" s="7">
        <v>0</v>
      </c>
    </row>
    <row r="39" spans="2:19" x14ac:dyDescent="0.35">
      <c r="B39">
        <v>37</v>
      </c>
      <c r="C39">
        <f t="shared" si="4"/>
        <v>5.3660000000000005</v>
      </c>
      <c r="D39" s="1">
        <f t="shared" si="0"/>
        <v>-1.89</v>
      </c>
      <c r="H39">
        <v>3</v>
      </c>
      <c r="I39" s="8" cm="1">
        <f t="array" ref="I39:Q39">J38:R38-H39*I38:Q38</f>
        <v>0</v>
      </c>
      <c r="J39">
        <v>1</v>
      </c>
      <c r="K39">
        <v>0</v>
      </c>
      <c r="L39">
        <v>-14</v>
      </c>
      <c r="M39">
        <v>0</v>
      </c>
      <c r="N39">
        <v>49</v>
      </c>
      <c r="O39">
        <v>0</v>
      </c>
      <c r="P39">
        <v>-36</v>
      </c>
      <c r="Q39" s="7">
        <v>0</v>
      </c>
    </row>
    <row r="40" spans="2:19" ht="15" thickBot="1" x14ac:dyDescent="0.4">
      <c r="B40">
        <v>38</v>
      </c>
      <c r="C40">
        <f t="shared" si="4"/>
        <v>5.4840000000000009</v>
      </c>
      <c r="D40" s="1">
        <f t="shared" si="0"/>
        <v>-1.9952000000000001</v>
      </c>
      <c r="H40">
        <v>-4</v>
      </c>
      <c r="I40" s="6" cm="1">
        <f t="array" ref="I40:Q40">J39:R39-H40*I39:Q39</f>
        <v>1</v>
      </c>
      <c r="J40" s="5">
        <v>4</v>
      </c>
      <c r="K40" s="5">
        <v>-14</v>
      </c>
      <c r="L40" s="5">
        <v>-56</v>
      </c>
      <c r="M40" s="5">
        <v>49</v>
      </c>
      <c r="N40" s="5">
        <v>196</v>
      </c>
      <c r="O40" s="5">
        <v>-36</v>
      </c>
      <c r="P40" s="5">
        <v>-144</v>
      </c>
      <c r="Q40" s="4">
        <v>0</v>
      </c>
    </row>
    <row r="41" spans="2:19" x14ac:dyDescent="0.35">
      <c r="B41">
        <v>39</v>
      </c>
      <c r="C41">
        <f t="shared" si="4"/>
        <v>5.6020000000000012</v>
      </c>
      <c r="D41" s="1">
        <f t="shared" si="0"/>
        <v>-2.0514999999999999</v>
      </c>
    </row>
    <row r="42" spans="2:19" x14ac:dyDescent="0.35">
      <c r="B42">
        <v>40</v>
      </c>
      <c r="C42">
        <f t="shared" si="4"/>
        <v>5.7200000000000015</v>
      </c>
      <c r="D42" s="1">
        <f t="shared" si="0"/>
        <v>-2.0579000000000001</v>
      </c>
    </row>
    <row r="43" spans="2:19" x14ac:dyDescent="0.35">
      <c r="B43">
        <v>41</v>
      </c>
      <c r="C43">
        <f t="shared" si="4"/>
        <v>5.8380000000000019</v>
      </c>
      <c r="D43" s="1">
        <f t="shared" si="0"/>
        <v>-2.0144000000000002</v>
      </c>
      <c r="G43" s="3" t="s">
        <v>1</v>
      </c>
      <c r="H43">
        <v>15.237</v>
      </c>
      <c r="I43" s="3" cm="1">
        <f t="array" ref="I43:Q43">MMULT(I30:Q30,I32:Q40)</f>
        <v>7.4851190476186524E-6</v>
      </c>
      <c r="J43" s="3">
        <v>-3.0297619047618222E-5</v>
      </c>
      <c r="K43" s="3">
        <v>-1.0354166666665541E-4</v>
      </c>
      <c r="L43" s="3">
        <v>4.237499999999784E-4</v>
      </c>
      <c r="M43" s="3">
        <v>3.8135416666657012E-4</v>
      </c>
      <c r="N43" s="3">
        <v>-1.4408333333331914E-3</v>
      </c>
      <c r="O43" s="3">
        <v>-2.533529761904733E-2</v>
      </c>
      <c r="P43" s="3">
        <v>-1.2102619047619164E-2</v>
      </c>
      <c r="Q43" s="3">
        <v>5.5758999999999999</v>
      </c>
    </row>
    <row r="44" spans="2:19" x14ac:dyDescent="0.35">
      <c r="B44">
        <v>42</v>
      </c>
      <c r="C44">
        <f t="shared" si="4"/>
        <v>5.9560000000000022</v>
      </c>
      <c r="D44" s="1">
        <f t="shared" si="0"/>
        <v>-1.9214</v>
      </c>
      <c r="H44">
        <f>(H43-H6)/C1</f>
        <v>0.65254237288112982</v>
      </c>
      <c r="I44">
        <f>I43</f>
        <v>7.4851190476186524E-6</v>
      </c>
      <c r="J44">
        <f t="shared" ref="J44:Q44" si="6">I44*$H$44+J43</f>
        <v>-2.5413261702987405E-5</v>
      </c>
      <c r="K44">
        <f t="shared" si="6"/>
        <v>-1.2012489676097195E-4</v>
      </c>
      <c r="L44">
        <f t="shared" si="6"/>
        <v>3.4536341482547302E-4</v>
      </c>
      <c r="M44">
        <f t="shared" si="6"/>
        <v>6.0671842888311426E-4</v>
      </c>
      <c r="N44">
        <f t="shared" si="6"/>
        <v>-1.0449238500790932E-3</v>
      </c>
      <c r="O44">
        <f t="shared" si="6"/>
        <v>-2.6017154707658027E-2</v>
      </c>
      <c r="P44">
        <f t="shared" si="6"/>
        <v>-2.9079914916169791E-2</v>
      </c>
      <c r="Q44" s="2">
        <f t="shared" si="6"/>
        <v>5.5569241233174207</v>
      </c>
      <c r="S44" s="2" t="s">
        <v>0</v>
      </c>
    </row>
    <row r="45" spans="2:19" x14ac:dyDescent="0.35">
      <c r="B45">
        <v>43</v>
      </c>
      <c r="C45">
        <f t="shared" si="4"/>
        <v>6.0740000000000025</v>
      </c>
      <c r="D45" s="1">
        <f t="shared" si="0"/>
        <v>-1.78</v>
      </c>
    </row>
    <row r="46" spans="2:19" x14ac:dyDescent="0.35">
      <c r="B46">
        <v>44</v>
      </c>
      <c r="C46">
        <f t="shared" si="4"/>
        <v>6.1920000000000028</v>
      </c>
      <c r="D46" s="1">
        <f t="shared" si="0"/>
        <v>-1.5922000000000001</v>
      </c>
    </row>
    <row r="47" spans="2:19" x14ac:dyDescent="0.35">
      <c r="B47">
        <v>45</v>
      </c>
      <c r="C47">
        <f t="shared" si="4"/>
        <v>6.3100000000000032</v>
      </c>
      <c r="D47" s="1">
        <f t="shared" si="0"/>
        <v>-1.3604000000000001</v>
      </c>
    </row>
    <row r="48" spans="2:19" x14ac:dyDescent="0.35">
      <c r="B48">
        <v>46</v>
      </c>
      <c r="C48">
        <f t="shared" si="4"/>
        <v>6.4280000000000035</v>
      </c>
      <c r="D48" s="1">
        <f t="shared" si="0"/>
        <v>-1.0876999999999999</v>
      </c>
    </row>
    <row r="49" spans="2:19" x14ac:dyDescent="0.35">
      <c r="B49">
        <v>47</v>
      </c>
      <c r="C49">
        <f t="shared" si="4"/>
        <v>6.5460000000000038</v>
      </c>
      <c r="D49" s="1">
        <f t="shared" si="0"/>
        <v>-0.77790000000000004</v>
      </c>
    </row>
    <row r="50" spans="2:19" ht="15" thickBot="1" x14ac:dyDescent="0.4">
      <c r="B50">
        <v>48</v>
      </c>
      <c r="C50">
        <f t="shared" si="4"/>
        <v>6.6640000000000041</v>
      </c>
      <c r="D50" s="1">
        <f t="shared" si="0"/>
        <v>-0.435</v>
      </c>
    </row>
    <row r="51" spans="2:19" x14ac:dyDescent="0.35">
      <c r="B51">
        <v>49</v>
      </c>
      <c r="C51">
        <f t="shared" si="4"/>
        <v>6.7820000000000045</v>
      </c>
      <c r="D51" s="1">
        <f t="shared" si="0"/>
        <v>-6.3899999999999998E-2</v>
      </c>
      <c r="G51" s="41" t="s">
        <v>39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9"/>
    </row>
    <row r="52" spans="2:19" x14ac:dyDescent="0.35">
      <c r="B52">
        <v>50</v>
      </c>
      <c r="C52">
        <f t="shared" si="4"/>
        <v>6.9000000000000048</v>
      </c>
      <c r="D52" s="1">
        <f t="shared" si="0"/>
        <v>0.33040000000000003</v>
      </c>
      <c r="G52" s="8"/>
      <c r="S52" s="7"/>
    </row>
    <row r="53" spans="2:19" x14ac:dyDescent="0.35">
      <c r="B53">
        <v>51</v>
      </c>
      <c r="C53">
        <f t="shared" si="4"/>
        <v>7.0180000000000051</v>
      </c>
      <c r="D53" s="1">
        <f t="shared" si="0"/>
        <v>0.74270000000000003</v>
      </c>
      <c r="G53" s="8"/>
      <c r="S53" s="7"/>
    </row>
    <row r="54" spans="2:19" x14ac:dyDescent="0.35">
      <c r="B54">
        <v>52</v>
      </c>
      <c r="C54">
        <f t="shared" si="4"/>
        <v>7.1360000000000054</v>
      </c>
      <c r="D54" s="1">
        <f t="shared" si="0"/>
        <v>1.1671</v>
      </c>
      <c r="G54" s="8"/>
      <c r="I54" t="s">
        <v>27</v>
      </c>
      <c r="J54" t="s">
        <v>22</v>
      </c>
      <c r="K54" t="s">
        <v>26</v>
      </c>
      <c r="L54" t="s">
        <v>21</v>
      </c>
      <c r="M54" t="s">
        <v>25</v>
      </c>
      <c r="N54" t="s">
        <v>20</v>
      </c>
      <c r="O54" t="s">
        <v>24</v>
      </c>
      <c r="P54" t="s">
        <v>19</v>
      </c>
      <c r="Q54" t="s">
        <v>23</v>
      </c>
      <c r="R54" t="s">
        <v>31</v>
      </c>
      <c r="S54" s="7"/>
    </row>
    <row r="55" spans="2:19" x14ac:dyDescent="0.35">
      <c r="B55">
        <v>53</v>
      </c>
      <c r="C55">
        <f t="shared" si="4"/>
        <v>7.2540000000000058</v>
      </c>
      <c r="D55" s="1">
        <f t="shared" si="0"/>
        <v>1.5979000000000001</v>
      </c>
      <c r="G55" s="8">
        <v>116</v>
      </c>
      <c r="H55">
        <f>VLOOKUP(G55,B55:D255,2)</f>
        <v>14.688000000000025</v>
      </c>
      <c r="I55">
        <f>VLOOKUP(G55,B55:D255,3)</f>
        <v>5.2320000000000002</v>
      </c>
      <c r="S55" s="7"/>
    </row>
    <row r="56" spans="2:19" x14ac:dyDescent="0.35">
      <c r="B56">
        <v>54</v>
      </c>
      <c r="C56">
        <f t="shared" si="4"/>
        <v>7.3720000000000061</v>
      </c>
      <c r="D56" s="1">
        <f t="shared" si="0"/>
        <v>2.0293000000000001</v>
      </c>
      <c r="G56" s="8">
        <v>117</v>
      </c>
      <c r="H56">
        <f>VLOOKUP(G56,B56:D256,2)</f>
        <v>14.806000000000026</v>
      </c>
      <c r="I56">
        <f>VLOOKUP(G56,B56:D256,3)</f>
        <v>5.3909000000000002</v>
      </c>
      <c r="J56">
        <f t="shared" ref="J56" si="7">I56-I55</f>
        <v>0.15890000000000004</v>
      </c>
      <c r="S56" s="7"/>
    </row>
    <row r="57" spans="2:19" x14ac:dyDescent="0.35">
      <c r="B57">
        <v>55</v>
      </c>
      <c r="C57">
        <f t="shared" si="4"/>
        <v>7.4900000000000064</v>
      </c>
      <c r="D57" s="1">
        <f t="shared" si="0"/>
        <v>2.4552999999999998</v>
      </c>
      <c r="G57" s="8">
        <f>G56+1</f>
        <v>118</v>
      </c>
      <c r="H57">
        <f t="shared" ref="H57:H64" si="8">VLOOKUP(G57,B57:D257,2)</f>
        <v>14.924000000000026</v>
      </c>
      <c r="I57">
        <f t="shared" ref="I57:I64" si="9">VLOOKUP(G57,B57:D257,3)</f>
        <v>5.5019999999999998</v>
      </c>
      <c r="J57">
        <f t="shared" ref="J57:K57" si="10">I57-I56</f>
        <v>0.11109999999999953</v>
      </c>
      <c r="K57">
        <f t="shared" si="10"/>
        <v>-4.7800000000000509E-2</v>
      </c>
      <c r="S57" s="7"/>
    </row>
    <row r="58" spans="2:19" x14ac:dyDescent="0.35">
      <c r="B58">
        <v>56</v>
      </c>
      <c r="C58">
        <f t="shared" si="4"/>
        <v>7.6080000000000068</v>
      </c>
      <c r="D58" s="1">
        <f t="shared" si="0"/>
        <v>2.8700999999999999</v>
      </c>
      <c r="G58" s="8">
        <f t="shared" ref="G58:G64" si="11">G57+1</f>
        <v>119</v>
      </c>
      <c r="H58">
        <f t="shared" si="8"/>
        <v>15.042000000000026</v>
      </c>
      <c r="I58">
        <f t="shared" si="9"/>
        <v>5.5640000000000001</v>
      </c>
      <c r="J58">
        <f t="shared" ref="J58:L58" si="12">I58-I57</f>
        <v>6.2000000000000277E-2</v>
      </c>
      <c r="K58">
        <f t="shared" si="12"/>
        <v>-4.9099999999999255E-2</v>
      </c>
      <c r="L58">
        <f t="shared" si="12"/>
        <v>-1.2999999999987466E-3</v>
      </c>
      <c r="S58" s="7"/>
    </row>
    <row r="59" spans="2:19" x14ac:dyDescent="0.35">
      <c r="B59">
        <v>57</v>
      </c>
      <c r="C59">
        <f t="shared" si="4"/>
        <v>7.7260000000000071</v>
      </c>
      <c r="D59" s="1">
        <f t="shared" si="0"/>
        <v>3.2679</v>
      </c>
      <c r="G59" s="8">
        <f t="shared" si="11"/>
        <v>120</v>
      </c>
      <c r="H59">
        <f t="shared" si="8"/>
        <v>15.160000000000027</v>
      </c>
      <c r="I59" s="17">
        <f t="shared" si="9"/>
        <v>5.5758999999999999</v>
      </c>
      <c r="J59">
        <f t="shared" ref="J59:L59" si="13">I59-I58</f>
        <v>1.18999999999998E-2</v>
      </c>
      <c r="K59">
        <f t="shared" si="13"/>
        <v>-5.0100000000000477E-2</v>
      </c>
      <c r="L59">
        <f t="shared" si="13"/>
        <v>-1.0000000000012221E-3</v>
      </c>
      <c r="M59">
        <f t="shared" ref="M59:M64" si="14">L59-L58</f>
        <v>2.9999999999752447E-4</v>
      </c>
      <c r="S59" s="7"/>
    </row>
    <row r="60" spans="2:19" x14ac:dyDescent="0.35">
      <c r="B60">
        <v>58</v>
      </c>
      <c r="C60">
        <f t="shared" si="4"/>
        <v>7.8440000000000074</v>
      </c>
      <c r="D60" s="1">
        <f t="shared" si="0"/>
        <v>3.6435</v>
      </c>
      <c r="G60" s="8">
        <f t="shared" si="11"/>
        <v>121</v>
      </c>
      <c r="H60">
        <f t="shared" si="8"/>
        <v>15.278000000000027</v>
      </c>
      <c r="I60" s="17">
        <f t="shared" si="9"/>
        <v>5.5377000000000001</v>
      </c>
      <c r="J60" s="2">
        <f t="shared" ref="J60:L60" si="15">I60-I59</f>
        <v>-3.819999999999979E-2</v>
      </c>
      <c r="K60" s="17">
        <f t="shared" si="15"/>
        <v>-5.0099999999999589E-2</v>
      </c>
      <c r="L60">
        <f t="shared" si="15"/>
        <v>8.8817841970012523E-16</v>
      </c>
      <c r="M60">
        <f t="shared" si="14"/>
        <v>1.0000000000021103E-3</v>
      </c>
      <c r="N60">
        <f>M60-M59</f>
        <v>7.0000000000458584E-4</v>
      </c>
      <c r="S60" s="7"/>
    </row>
    <row r="61" spans="2:19" x14ac:dyDescent="0.35">
      <c r="B61">
        <v>59</v>
      </c>
      <c r="C61">
        <f t="shared" si="4"/>
        <v>7.9620000000000077</v>
      </c>
      <c r="D61" s="1">
        <f t="shared" si="0"/>
        <v>3.9916</v>
      </c>
      <c r="G61" s="8">
        <f t="shared" si="11"/>
        <v>122</v>
      </c>
      <c r="H61">
        <f t="shared" si="8"/>
        <v>15.396000000000027</v>
      </c>
      <c r="I61">
        <f t="shared" si="9"/>
        <v>5.4499000000000004</v>
      </c>
      <c r="J61">
        <f t="shared" ref="J61:L61" si="16">I61-I60</f>
        <v>-8.7799999999999656E-2</v>
      </c>
      <c r="K61" s="17">
        <f t="shared" si="16"/>
        <v>-4.9599999999999866E-2</v>
      </c>
      <c r="L61" s="2">
        <f t="shared" si="16"/>
        <v>4.9999999999972289E-4</v>
      </c>
      <c r="M61" s="17">
        <f t="shared" si="14"/>
        <v>4.9999999999883471E-4</v>
      </c>
      <c r="N61">
        <f>M61-M60</f>
        <v>-5.000000000032756E-4</v>
      </c>
      <c r="O61">
        <f>N61-N60</f>
        <v>-1.2000000000078614E-3</v>
      </c>
      <c r="S61" s="7"/>
    </row>
    <row r="62" spans="2:19" x14ac:dyDescent="0.35">
      <c r="B62">
        <v>60</v>
      </c>
      <c r="C62">
        <f t="shared" si="4"/>
        <v>8.0800000000000072</v>
      </c>
      <c r="D62" s="1">
        <f t="shared" si="0"/>
        <v>4.3074000000000003</v>
      </c>
      <c r="G62" s="8">
        <f t="shared" si="11"/>
        <v>123</v>
      </c>
      <c r="H62">
        <f t="shared" si="8"/>
        <v>15.514000000000028</v>
      </c>
      <c r="I62">
        <f t="shared" si="9"/>
        <v>5.3139000000000003</v>
      </c>
      <c r="J62">
        <f t="shared" ref="J62:L62" si="17">I62-I61</f>
        <v>-0.13600000000000012</v>
      </c>
      <c r="K62">
        <f t="shared" si="17"/>
        <v>-4.8200000000000465E-2</v>
      </c>
      <c r="L62">
        <f t="shared" si="17"/>
        <v>1.3999999999994017E-3</v>
      </c>
      <c r="M62" s="17">
        <f t="shared" si="14"/>
        <v>8.9999999999967883E-4</v>
      </c>
      <c r="N62" s="2">
        <f>M62-M61</f>
        <v>4.0000000000084412E-4</v>
      </c>
      <c r="O62" s="17">
        <f>N62-N61</f>
        <v>9.0000000000411973E-4</v>
      </c>
      <c r="P62">
        <f>O62-O61</f>
        <v>2.1000000000119812E-3</v>
      </c>
      <c r="S62" s="7"/>
    </row>
    <row r="63" spans="2:19" x14ac:dyDescent="0.35">
      <c r="B63">
        <v>61</v>
      </c>
      <c r="C63">
        <f t="shared" si="4"/>
        <v>8.1980000000000075</v>
      </c>
      <c r="D63" s="1">
        <f t="shared" si="0"/>
        <v>4.5867000000000004</v>
      </c>
      <c r="G63" s="8">
        <f t="shared" si="11"/>
        <v>124</v>
      </c>
      <c r="H63">
        <f t="shared" si="8"/>
        <v>15.632000000000028</v>
      </c>
      <c r="I63">
        <f t="shared" si="9"/>
        <v>5.1315</v>
      </c>
      <c r="J63">
        <f t="shared" ref="J63:L64" si="18">I63-I62</f>
        <v>-0.18240000000000034</v>
      </c>
      <c r="K63">
        <f t="shared" si="18"/>
        <v>-4.6400000000000219E-2</v>
      </c>
      <c r="L63">
        <f t="shared" si="18"/>
        <v>1.8000000000002458E-3</v>
      </c>
      <c r="M63">
        <f t="shared" si="14"/>
        <v>4.0000000000084412E-4</v>
      </c>
      <c r="N63">
        <f>M63-M62</f>
        <v>-4.9999999999883471E-4</v>
      </c>
      <c r="O63" s="17">
        <f>N63-N62</f>
        <v>-8.9999999999967883E-4</v>
      </c>
      <c r="P63" s="2">
        <f>O63-O62</f>
        <v>-1.8000000000037986E-3</v>
      </c>
      <c r="Q63" s="17">
        <f>P63-P62</f>
        <v>-3.9000000000157797E-3</v>
      </c>
      <c r="S63" s="7"/>
    </row>
    <row r="64" spans="2:19" x14ac:dyDescent="0.35">
      <c r="B64">
        <v>62</v>
      </c>
      <c r="C64">
        <f t="shared" si="4"/>
        <v>8.3160000000000078</v>
      </c>
      <c r="D64" s="1">
        <f t="shared" si="0"/>
        <v>4.8257000000000003</v>
      </c>
      <c r="G64" s="8">
        <f t="shared" si="11"/>
        <v>125</v>
      </c>
      <c r="H64">
        <f t="shared" si="8"/>
        <v>15.750000000000028</v>
      </c>
      <c r="I64">
        <f t="shared" si="9"/>
        <v>4.9054000000000002</v>
      </c>
      <c r="J64">
        <f t="shared" si="18"/>
        <v>-0.22609999999999975</v>
      </c>
      <c r="K64">
        <f t="shared" si="18"/>
        <v>-4.3699999999999406E-2</v>
      </c>
      <c r="L64">
        <f t="shared" si="18"/>
        <v>2.7000000000008129E-3</v>
      </c>
      <c r="M64">
        <f t="shared" si="14"/>
        <v>9.0000000000056701E-4</v>
      </c>
      <c r="N64">
        <f>M64-M63</f>
        <v>4.9999999999972289E-4</v>
      </c>
      <c r="O64">
        <f>N64-N63</f>
        <v>9.999999999985576E-4</v>
      </c>
      <c r="P64">
        <f>O64-O63</f>
        <v>1.8999999999982364E-3</v>
      </c>
      <c r="Q64" s="17">
        <f>P64-P63</f>
        <v>3.700000000002035E-3</v>
      </c>
      <c r="R64" s="2">
        <f>Q64-Q63</f>
        <v>7.6000000000178147E-3</v>
      </c>
      <c r="S64" s="7"/>
    </row>
    <row r="65" spans="2:19" x14ac:dyDescent="0.35">
      <c r="B65">
        <v>63</v>
      </c>
      <c r="C65">
        <f t="shared" si="4"/>
        <v>8.4340000000000082</v>
      </c>
      <c r="D65" s="1">
        <f t="shared" si="0"/>
        <v>5.0212000000000003</v>
      </c>
      <c r="G65" s="8"/>
      <c r="S65" s="7"/>
    </row>
    <row r="66" spans="2:19" x14ac:dyDescent="0.35">
      <c r="B66">
        <v>64</v>
      </c>
      <c r="C66">
        <f t="shared" si="4"/>
        <v>8.5520000000000085</v>
      </c>
      <c r="D66" s="1">
        <f t="shared" ref="D66:D129" si="19">ROUND(POWER(C66,1/4)+2*SIN(C66)-3*COS(C66),4)</f>
        <v>5.1703999999999999</v>
      </c>
      <c r="G66" s="8"/>
      <c r="S66" s="7"/>
    </row>
    <row r="67" spans="2:19" x14ac:dyDescent="0.35">
      <c r="B67">
        <v>65</v>
      </c>
      <c r="C67">
        <f t="shared" si="4"/>
        <v>8.6700000000000088</v>
      </c>
      <c r="D67" s="1">
        <f t="shared" si="19"/>
        <v>5.2714999999999996</v>
      </c>
      <c r="G67" s="8"/>
      <c r="H67" t="s">
        <v>32</v>
      </c>
      <c r="S67" s="7"/>
    </row>
    <row r="68" spans="2:19" x14ac:dyDescent="0.35">
      <c r="B68">
        <v>66</v>
      </c>
      <c r="C68">
        <f t="shared" ref="C68:C131" si="20">C67+$C$1</f>
        <v>8.7880000000000091</v>
      </c>
      <c r="D68" s="1">
        <f t="shared" si="19"/>
        <v>5.3230000000000004</v>
      </c>
      <c r="G68" s="8"/>
      <c r="I68" s="17">
        <f>SUM(I59:I60)/2</f>
        <v>5.5568</v>
      </c>
      <c r="J68" s="17">
        <f>SUM(K60:K61)/2</f>
        <v>-4.9849999999999728E-2</v>
      </c>
      <c r="K68" s="17">
        <f>SUM(M61:M62)/2</f>
        <v>6.9999999999925677E-4</v>
      </c>
      <c r="L68" s="17">
        <f>SUM(O62:O63)/2</f>
        <v>2.2204460492503131E-15</v>
      </c>
      <c r="M68" s="17">
        <f>SUM(Q63:Q64)/2</f>
        <v>-1.0000000000687237E-4</v>
      </c>
      <c r="S68" s="7"/>
    </row>
    <row r="69" spans="2:19" x14ac:dyDescent="0.35">
      <c r="B69">
        <v>67</v>
      </c>
      <c r="C69">
        <f t="shared" si="20"/>
        <v>8.9060000000000095</v>
      </c>
      <c r="D69" s="1">
        <f t="shared" si="19"/>
        <v>5.3243999999999998</v>
      </c>
      <c r="G69" s="8"/>
      <c r="H69" t="s">
        <v>33</v>
      </c>
      <c r="S69" s="7"/>
    </row>
    <row r="70" spans="2:19" x14ac:dyDescent="0.35">
      <c r="B70">
        <v>68</v>
      </c>
      <c r="C70">
        <f t="shared" si="20"/>
        <v>9.0240000000000098</v>
      </c>
      <c r="D70" s="1">
        <f t="shared" si="19"/>
        <v>5.2756999999999996</v>
      </c>
      <c r="G70" s="8"/>
      <c r="I70">
        <f>I68/1</f>
        <v>5.5568</v>
      </c>
      <c r="J70">
        <f>J68/2/1</f>
        <v>-2.4924999999999864E-2</v>
      </c>
      <c r="K70">
        <f>K68/4/3/2/1</f>
        <v>2.9166666666635699E-5</v>
      </c>
      <c r="L70">
        <f>L68/6/5/4/3/2</f>
        <v>3.0839528461809906E-18</v>
      </c>
      <c r="M70">
        <f>M68/8/7/6/5/4/3/2</f>
        <v>-2.4801587303291759E-9</v>
      </c>
      <c r="S70" s="7"/>
    </row>
    <row r="71" spans="2:19" x14ac:dyDescent="0.35">
      <c r="B71">
        <v>69</v>
      </c>
      <c r="C71">
        <f t="shared" si="20"/>
        <v>9.1420000000000101</v>
      </c>
      <c r="D71" s="1">
        <f t="shared" si="19"/>
        <v>5.1776999999999997</v>
      </c>
      <c r="G71" s="8"/>
      <c r="H71" t="s">
        <v>34</v>
      </c>
      <c r="S71" s="7"/>
    </row>
    <row r="72" spans="2:19" x14ac:dyDescent="0.35">
      <c r="B72">
        <v>70</v>
      </c>
      <c r="C72">
        <f t="shared" si="20"/>
        <v>9.2600000000000104</v>
      </c>
      <c r="D72" s="1">
        <f t="shared" si="19"/>
        <v>5.0319000000000003</v>
      </c>
      <c r="G72" s="8"/>
      <c r="I72">
        <f>J60</f>
        <v>-3.819999999999979E-2</v>
      </c>
      <c r="J72">
        <f>L61</f>
        <v>4.9999999999972289E-4</v>
      </c>
      <c r="K72">
        <f>N62</f>
        <v>4.0000000000084412E-4</v>
      </c>
      <c r="L72">
        <f>P63</f>
        <v>-1.8000000000037986E-3</v>
      </c>
      <c r="M72">
        <f>R64</f>
        <v>7.6000000000178147E-3</v>
      </c>
      <c r="S72" s="7"/>
    </row>
    <row r="73" spans="2:19" x14ac:dyDescent="0.35">
      <c r="B73">
        <v>71</v>
      </c>
      <c r="C73">
        <f t="shared" si="20"/>
        <v>9.3780000000000108</v>
      </c>
      <c r="D73" s="1">
        <f t="shared" si="19"/>
        <v>4.8402000000000003</v>
      </c>
      <c r="G73" s="8"/>
      <c r="H73" t="s">
        <v>33</v>
      </c>
      <c r="S73" s="7"/>
    </row>
    <row r="74" spans="2:19" x14ac:dyDescent="0.35">
      <c r="B74">
        <v>72</v>
      </c>
      <c r="C74">
        <f t="shared" si="20"/>
        <v>9.4960000000000111</v>
      </c>
      <c r="D74" s="1">
        <f t="shared" si="19"/>
        <v>4.6055000000000001</v>
      </c>
      <c r="G74" s="8"/>
      <c r="I74">
        <f>I72/1</f>
        <v>-3.819999999999979E-2</v>
      </c>
      <c r="J74">
        <f>J72/3/2</f>
        <v>8.3333333333287144E-5</v>
      </c>
      <c r="K74">
        <f>K72/5/4/3/2</f>
        <v>3.3333333333403679E-6</v>
      </c>
      <c r="L74">
        <f>L72/7/6/5/4/3/2</f>
        <v>-3.5714285714361086E-7</v>
      </c>
      <c r="M74">
        <f>M72/9/8/7/6/5/4/3/2/1</f>
        <v>2.0943562610278366E-8</v>
      </c>
      <c r="S74" s="7"/>
    </row>
    <row r="75" spans="2:19" ht="15" thickBot="1" x14ac:dyDescent="0.4">
      <c r="B75">
        <v>73</v>
      </c>
      <c r="C75">
        <f t="shared" si="20"/>
        <v>9.6140000000000114</v>
      </c>
      <c r="D75" s="1">
        <f t="shared" si="19"/>
        <v>4.3311000000000002</v>
      </c>
      <c r="G75" s="8"/>
      <c r="S75" s="7"/>
    </row>
    <row r="76" spans="2:19" x14ac:dyDescent="0.35">
      <c r="B76">
        <v>74</v>
      </c>
      <c r="C76">
        <f t="shared" si="20"/>
        <v>9.7320000000000118</v>
      </c>
      <c r="D76" s="1">
        <f t="shared" si="19"/>
        <v>4.0209999999999999</v>
      </c>
      <c r="G76" s="8"/>
      <c r="H76" t="s">
        <v>35</v>
      </c>
      <c r="J76" s="11">
        <v>0</v>
      </c>
      <c r="K76" s="10">
        <v>0</v>
      </c>
      <c r="L76" s="10">
        <v>0</v>
      </c>
      <c r="M76" s="10">
        <v>0</v>
      </c>
      <c r="N76" s="9">
        <v>1</v>
      </c>
      <c r="S76" s="7"/>
    </row>
    <row r="77" spans="2:19" x14ac:dyDescent="0.35">
      <c r="B77">
        <v>75</v>
      </c>
      <c r="C77">
        <f t="shared" si="20"/>
        <v>9.8500000000000121</v>
      </c>
      <c r="D77" s="1">
        <f t="shared" si="19"/>
        <v>3.6793999999999998</v>
      </c>
      <c r="G77" s="8"/>
      <c r="I77">
        <v>0.25</v>
      </c>
      <c r="J77" s="8" cm="1">
        <f t="array" ref="J77:N77">K76:O76-I77*J76:N76</f>
        <v>0</v>
      </c>
      <c r="K77">
        <v>0</v>
      </c>
      <c r="L77">
        <v>0</v>
      </c>
      <c r="M77">
        <v>1</v>
      </c>
      <c r="N77" s="7">
        <v>-0.25</v>
      </c>
      <c r="S77" s="7"/>
    </row>
    <row r="78" spans="2:19" x14ac:dyDescent="0.35">
      <c r="B78">
        <v>76</v>
      </c>
      <c r="C78">
        <f t="shared" si="20"/>
        <v>9.9680000000000124</v>
      </c>
      <c r="D78" s="1">
        <f t="shared" si="19"/>
        <v>3.3111999999999999</v>
      </c>
      <c r="G78" s="8"/>
      <c r="I78">
        <v>2.25</v>
      </c>
      <c r="J78" s="8" cm="1">
        <f t="array" ref="J78:N78">K77:O77-I78*J77:N77</f>
        <v>0</v>
      </c>
      <c r="K78">
        <v>0</v>
      </c>
      <c r="L78">
        <v>1</v>
      </c>
      <c r="M78">
        <v>-2.5</v>
      </c>
      <c r="N78" s="7">
        <v>0.5625</v>
      </c>
      <c r="S78" s="7"/>
    </row>
    <row r="79" spans="2:19" x14ac:dyDescent="0.35">
      <c r="B79">
        <v>77</v>
      </c>
      <c r="C79">
        <f t="shared" si="20"/>
        <v>10.086000000000013</v>
      </c>
      <c r="D79" s="1">
        <f t="shared" si="19"/>
        <v>2.9217</v>
      </c>
      <c r="G79" s="8"/>
      <c r="I79">
        <v>6.25</v>
      </c>
      <c r="J79" s="8" cm="1">
        <f t="array" ref="J79:N79">K78:O78-I79*J78:N78</f>
        <v>0</v>
      </c>
      <c r="K79">
        <v>1</v>
      </c>
      <c r="L79">
        <v>-8.75</v>
      </c>
      <c r="M79">
        <v>16.1875</v>
      </c>
      <c r="N79" s="7">
        <v>-3.515625</v>
      </c>
      <c r="S79" s="7"/>
    </row>
    <row r="80" spans="2:19" ht="15" thickBot="1" x14ac:dyDescent="0.4">
      <c r="B80">
        <v>78</v>
      </c>
      <c r="C80">
        <f t="shared" si="20"/>
        <v>10.204000000000013</v>
      </c>
      <c r="D80" s="1">
        <f t="shared" si="19"/>
        <v>2.5162</v>
      </c>
      <c r="G80" s="8"/>
      <c r="I80">
        <v>12.25</v>
      </c>
      <c r="J80" s="6" cm="1">
        <f t="array" ref="J80:N80">K79:O79-I80*J79:N79</f>
        <v>1</v>
      </c>
      <c r="K80" s="5">
        <v>-21</v>
      </c>
      <c r="L80" s="5">
        <v>123.375</v>
      </c>
      <c r="M80" s="5">
        <v>-201.8125</v>
      </c>
      <c r="N80" s="4">
        <v>43.06640625</v>
      </c>
      <c r="S80" s="7"/>
    </row>
    <row r="81" spans="2:19" x14ac:dyDescent="0.35">
      <c r="B81">
        <v>79</v>
      </c>
      <c r="C81">
        <f t="shared" si="20"/>
        <v>10.322000000000013</v>
      </c>
      <c r="D81" s="1">
        <f t="shared" si="19"/>
        <v>2.1006</v>
      </c>
      <c r="G81" s="8"/>
      <c r="S81" s="7"/>
    </row>
    <row r="82" spans="2:19" x14ac:dyDescent="0.35">
      <c r="B82">
        <v>80</v>
      </c>
      <c r="C82">
        <f t="shared" si="20"/>
        <v>10.440000000000014</v>
      </c>
      <c r="D82" s="1">
        <f t="shared" si="19"/>
        <v>1.6806000000000001</v>
      </c>
      <c r="G82" s="8"/>
      <c r="H82" t="s">
        <v>36</v>
      </c>
      <c r="J82" t="s">
        <v>14</v>
      </c>
      <c r="K82" t="s">
        <v>13</v>
      </c>
      <c r="L82" t="s">
        <v>12</v>
      </c>
      <c r="M82" t="s">
        <v>11</v>
      </c>
      <c r="N82" t="s">
        <v>10</v>
      </c>
      <c r="S82" s="7"/>
    </row>
    <row r="83" spans="2:19" x14ac:dyDescent="0.35">
      <c r="B83">
        <v>81</v>
      </c>
      <c r="C83">
        <f t="shared" si="20"/>
        <v>10.558000000000014</v>
      </c>
      <c r="D83" s="1">
        <f t="shared" si="19"/>
        <v>1.2622</v>
      </c>
      <c r="G83" s="8"/>
      <c r="J83" cm="1">
        <f t="array" ref="J83:N83">MMULT(I70:M70,J76:N80)</f>
        <v>-2.4801587303291759E-9</v>
      </c>
      <c r="K83">
        <v>5.208333333999665E-8</v>
      </c>
      <c r="L83">
        <v>2.8860677083254353E-5</v>
      </c>
      <c r="M83">
        <v>-2.499741613963264E-2</v>
      </c>
      <c r="N83">
        <v>5.563047549438477</v>
      </c>
      <c r="S83" s="7"/>
    </row>
    <row r="84" spans="2:19" x14ac:dyDescent="0.35">
      <c r="B84">
        <v>82</v>
      </c>
      <c r="C84">
        <f t="shared" si="20"/>
        <v>10.676000000000014</v>
      </c>
      <c r="D84" s="1">
        <f t="shared" si="19"/>
        <v>0.85129999999999995</v>
      </c>
      <c r="G84" s="8"/>
      <c r="H84" t="s">
        <v>37</v>
      </c>
      <c r="J84" t="s">
        <v>38</v>
      </c>
      <c r="K84" t="s">
        <v>8</v>
      </c>
      <c r="L84" t="s">
        <v>7</v>
      </c>
      <c r="M84" t="s">
        <v>6</v>
      </c>
      <c r="N84" t="s">
        <v>5</v>
      </c>
      <c r="S84" s="7"/>
    </row>
    <row r="85" spans="2:19" x14ac:dyDescent="0.35">
      <c r="B85">
        <v>83</v>
      </c>
      <c r="C85">
        <f t="shared" si="20"/>
        <v>10.794000000000015</v>
      </c>
      <c r="D85" s="1">
        <f t="shared" si="19"/>
        <v>0.45369999999999999</v>
      </c>
      <c r="G85" s="8"/>
      <c r="J85" cm="1">
        <f t="array" ref="J85:N85">MMULT(I74:M74,J76:N80)</f>
        <v>2.0943562610278366E-8</v>
      </c>
      <c r="K85">
        <v>-7.9695767195945649E-7</v>
      </c>
      <c r="L85">
        <v>9.0422453703900566E-6</v>
      </c>
      <c r="M85">
        <v>6.4992077270637226E-5</v>
      </c>
      <c r="N85">
        <v>-3.821680078900027E-2</v>
      </c>
      <c r="S85" s="7"/>
    </row>
    <row r="86" spans="2:19" x14ac:dyDescent="0.35">
      <c r="B86">
        <v>84</v>
      </c>
      <c r="C86">
        <f t="shared" si="20"/>
        <v>10.912000000000015</v>
      </c>
      <c r="D86" s="1">
        <f t="shared" si="19"/>
        <v>7.4899999999999994E-2</v>
      </c>
      <c r="G86" s="8">
        <f>E1</f>
        <v>15.237</v>
      </c>
      <c r="I86">
        <f>J85</f>
        <v>2.0943562610278366E-8</v>
      </c>
      <c r="J86">
        <f>J83</f>
        <v>-2.4801587303291759E-9</v>
      </c>
      <c r="K86">
        <f>K85</f>
        <v>-7.9695767195945649E-7</v>
      </c>
      <c r="L86">
        <f>K83</f>
        <v>5.208333333999665E-8</v>
      </c>
      <c r="M86">
        <f>L85</f>
        <v>9.0422453703900566E-6</v>
      </c>
      <c r="N86">
        <f>L83</f>
        <v>2.8860677083254353E-5</v>
      </c>
      <c r="O86">
        <f>M85</f>
        <v>6.4992077270637226E-5</v>
      </c>
      <c r="P86">
        <f>M83</f>
        <v>-2.499741613963264E-2</v>
      </c>
      <c r="Q86">
        <f>N85</f>
        <v>-3.821680078900027E-2</v>
      </c>
      <c r="R86">
        <f>N83</f>
        <v>5.563047549438477</v>
      </c>
      <c r="S86" s="7"/>
    </row>
    <row r="87" spans="2:19" x14ac:dyDescent="0.35">
      <c r="B87">
        <v>85</v>
      </c>
      <c r="C87">
        <f t="shared" si="20"/>
        <v>11.030000000000015</v>
      </c>
      <c r="D87" s="1">
        <f t="shared" si="19"/>
        <v>-0.2797</v>
      </c>
      <c r="G87" s="8"/>
      <c r="H87">
        <f>(G86-H59)/C1-1/2</f>
        <v>0.15254237288112982</v>
      </c>
      <c r="I87">
        <f>I86</f>
        <v>2.0943562610278366E-8</v>
      </c>
      <c r="J87">
        <f>J86+I87*$H$87</f>
        <v>7.1462200682719513E-10</v>
      </c>
      <c r="K87">
        <f t="shared" ref="K87:R87" si="21">K86+J87*$H$87</f>
        <v>-7.9684866182282194E-7</v>
      </c>
      <c r="L87">
        <f t="shared" si="21"/>
        <v>-6.9469852361609567E-8</v>
      </c>
      <c r="M87">
        <f t="shared" si="21"/>
        <v>9.0316482742671149E-6</v>
      </c>
      <c r="N87">
        <f t="shared" si="21"/>
        <v>3.0238386142038819E-5</v>
      </c>
      <c r="O87">
        <f t="shared" si="21"/>
        <v>6.9604712444839702E-5</v>
      </c>
      <c r="P87">
        <f t="shared" si="21"/>
        <v>-2.4986798471632595E-2</v>
      </c>
      <c r="Q87">
        <f t="shared" si="21"/>
        <v>-4.2028346318565696E-2</v>
      </c>
      <c r="R87" s="2">
        <f t="shared" si="21"/>
        <v>5.5566364457627735</v>
      </c>
      <c r="S87" s="42" t="s">
        <v>40</v>
      </c>
    </row>
    <row r="88" spans="2:19" ht="15" thickBot="1" x14ac:dyDescent="0.4">
      <c r="B88">
        <v>86</v>
      </c>
      <c r="C88">
        <f t="shared" si="20"/>
        <v>11.148000000000016</v>
      </c>
      <c r="D88" s="1">
        <f t="shared" si="19"/>
        <v>-0.60509999999999997</v>
      </c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4"/>
    </row>
    <row r="89" spans="2:19" x14ac:dyDescent="0.35">
      <c r="B89">
        <v>87</v>
      </c>
      <c r="C89">
        <f t="shared" si="20"/>
        <v>11.266000000000016</v>
      </c>
      <c r="D89" s="1">
        <f t="shared" si="19"/>
        <v>-0.89670000000000005</v>
      </c>
    </row>
    <row r="90" spans="2:19" x14ac:dyDescent="0.35">
      <c r="B90">
        <v>88</v>
      </c>
      <c r="C90">
        <f t="shared" si="20"/>
        <v>11.384000000000016</v>
      </c>
      <c r="D90" s="1">
        <f t="shared" si="19"/>
        <v>-1.1504000000000001</v>
      </c>
    </row>
    <row r="91" spans="2:19" x14ac:dyDescent="0.35">
      <c r="B91">
        <v>89</v>
      </c>
      <c r="C91">
        <f t="shared" si="20"/>
        <v>11.502000000000017</v>
      </c>
      <c r="D91" s="1">
        <f t="shared" si="19"/>
        <v>-1.3625</v>
      </c>
    </row>
    <row r="92" spans="2:19" x14ac:dyDescent="0.35">
      <c r="B92">
        <v>90</v>
      </c>
      <c r="C92">
        <f t="shared" si="20"/>
        <v>11.620000000000017</v>
      </c>
      <c r="D92" s="1">
        <f t="shared" si="19"/>
        <v>-1.5302</v>
      </c>
    </row>
    <row r="93" spans="2:19" x14ac:dyDescent="0.35">
      <c r="B93">
        <v>91</v>
      </c>
      <c r="C93">
        <f t="shared" si="20"/>
        <v>11.738000000000017</v>
      </c>
      <c r="D93" s="1">
        <f t="shared" si="19"/>
        <v>-1.6509</v>
      </c>
    </row>
    <row r="94" spans="2:19" x14ac:dyDescent="0.35">
      <c r="B94">
        <v>92</v>
      </c>
      <c r="C94">
        <f t="shared" si="20"/>
        <v>11.856000000000018</v>
      </c>
      <c r="D94" s="1">
        <f t="shared" si="19"/>
        <v>-1.7230000000000001</v>
      </c>
    </row>
    <row r="95" spans="2:19" x14ac:dyDescent="0.35">
      <c r="B95">
        <v>93</v>
      </c>
      <c r="C95">
        <f t="shared" si="20"/>
        <v>11.974000000000018</v>
      </c>
      <c r="D95" s="1">
        <f t="shared" si="19"/>
        <v>-1.7453000000000001</v>
      </c>
    </row>
    <row r="96" spans="2:19" x14ac:dyDescent="0.35">
      <c r="B96">
        <v>94</v>
      </c>
      <c r="C96">
        <f t="shared" si="20"/>
        <v>12.092000000000018</v>
      </c>
      <c r="D96" s="1">
        <f t="shared" si="19"/>
        <v>-1.7175</v>
      </c>
    </row>
    <row r="97" spans="2:4" x14ac:dyDescent="0.35">
      <c r="B97">
        <v>95</v>
      </c>
      <c r="C97">
        <f t="shared" si="20"/>
        <v>12.210000000000019</v>
      </c>
      <c r="D97" s="1">
        <f t="shared" si="19"/>
        <v>-1.64</v>
      </c>
    </row>
    <row r="98" spans="2:4" x14ac:dyDescent="0.35">
      <c r="B98">
        <v>96</v>
      </c>
      <c r="C98">
        <f t="shared" si="20"/>
        <v>12.328000000000019</v>
      </c>
      <c r="D98" s="1">
        <f t="shared" si="19"/>
        <v>-1.5136000000000001</v>
      </c>
    </row>
    <row r="99" spans="2:4" x14ac:dyDescent="0.35">
      <c r="B99">
        <v>97</v>
      </c>
      <c r="C99">
        <f t="shared" si="20"/>
        <v>12.446000000000019</v>
      </c>
      <c r="D99" s="1">
        <f t="shared" si="19"/>
        <v>-1.3402000000000001</v>
      </c>
    </row>
    <row r="100" spans="2:4" x14ac:dyDescent="0.35">
      <c r="B100">
        <v>98</v>
      </c>
      <c r="C100">
        <f t="shared" si="20"/>
        <v>12.56400000000002</v>
      </c>
      <c r="D100" s="1">
        <f t="shared" si="19"/>
        <v>-1.1220000000000001</v>
      </c>
    </row>
    <row r="101" spans="2:4" x14ac:dyDescent="0.35">
      <c r="B101">
        <v>99</v>
      </c>
      <c r="C101">
        <f t="shared" si="20"/>
        <v>12.68200000000002</v>
      </c>
      <c r="D101" s="1">
        <f t="shared" si="19"/>
        <v>-0.86209999999999998</v>
      </c>
    </row>
    <row r="102" spans="2:4" x14ac:dyDescent="0.35">
      <c r="B102">
        <v>100</v>
      </c>
      <c r="C102">
        <f t="shared" si="20"/>
        <v>12.80000000000002</v>
      </c>
      <c r="D102" s="1">
        <f t="shared" si="19"/>
        <v>-0.56399999999999995</v>
      </c>
    </row>
    <row r="103" spans="2:4" x14ac:dyDescent="0.35">
      <c r="B103">
        <v>101</v>
      </c>
      <c r="C103">
        <f t="shared" si="20"/>
        <v>12.918000000000021</v>
      </c>
      <c r="D103" s="1">
        <f t="shared" si="19"/>
        <v>-0.23180000000000001</v>
      </c>
    </row>
    <row r="104" spans="2:4" x14ac:dyDescent="0.35">
      <c r="B104">
        <v>102</v>
      </c>
      <c r="C104">
        <f t="shared" si="20"/>
        <v>13.036000000000021</v>
      </c>
      <c r="D104" s="1">
        <f t="shared" si="19"/>
        <v>0.13</v>
      </c>
    </row>
    <row r="105" spans="2:4" x14ac:dyDescent="0.35">
      <c r="B105">
        <v>103</v>
      </c>
      <c r="C105">
        <f t="shared" si="20"/>
        <v>13.154000000000021</v>
      </c>
      <c r="D105" s="1">
        <f t="shared" si="19"/>
        <v>0.51639999999999997</v>
      </c>
    </row>
    <row r="106" spans="2:4" x14ac:dyDescent="0.35">
      <c r="B106">
        <v>104</v>
      </c>
      <c r="C106">
        <f t="shared" si="20"/>
        <v>13.272000000000022</v>
      </c>
      <c r="D106" s="1">
        <f t="shared" si="19"/>
        <v>0.92210000000000003</v>
      </c>
    </row>
    <row r="107" spans="2:4" x14ac:dyDescent="0.35">
      <c r="B107">
        <v>105</v>
      </c>
      <c r="C107">
        <f t="shared" si="20"/>
        <v>13.390000000000022</v>
      </c>
      <c r="D107" s="1">
        <f t="shared" si="19"/>
        <v>1.3414999999999999</v>
      </c>
    </row>
    <row r="108" spans="2:4" x14ac:dyDescent="0.35">
      <c r="B108">
        <v>106</v>
      </c>
      <c r="C108">
        <f t="shared" si="20"/>
        <v>13.508000000000022</v>
      </c>
      <c r="D108" s="1">
        <f t="shared" si="19"/>
        <v>1.7686999999999999</v>
      </c>
    </row>
    <row r="109" spans="2:4" x14ac:dyDescent="0.35">
      <c r="B109">
        <v>107</v>
      </c>
      <c r="C109">
        <f t="shared" si="20"/>
        <v>13.626000000000023</v>
      </c>
      <c r="D109" s="1">
        <f t="shared" si="19"/>
        <v>2.198</v>
      </c>
    </row>
    <row r="110" spans="2:4" x14ac:dyDescent="0.35">
      <c r="B110">
        <v>108</v>
      </c>
      <c r="C110">
        <f t="shared" si="20"/>
        <v>13.744000000000023</v>
      </c>
      <c r="D110" s="1">
        <f t="shared" si="19"/>
        <v>2.6234999999999999</v>
      </c>
    </row>
    <row r="111" spans="2:4" x14ac:dyDescent="0.35">
      <c r="B111">
        <v>109</v>
      </c>
      <c r="C111">
        <f t="shared" si="20"/>
        <v>13.862000000000023</v>
      </c>
      <c r="D111" s="1">
        <f t="shared" si="19"/>
        <v>3.0392000000000001</v>
      </c>
    </row>
    <row r="112" spans="2:4" x14ac:dyDescent="0.35">
      <c r="B112">
        <v>110</v>
      </c>
      <c r="C112">
        <f t="shared" si="20"/>
        <v>13.980000000000024</v>
      </c>
      <c r="D112" s="1">
        <f t="shared" si="19"/>
        <v>3.4394</v>
      </c>
    </row>
    <row r="113" spans="2:4" x14ac:dyDescent="0.35">
      <c r="B113">
        <v>111</v>
      </c>
      <c r="C113">
        <f t="shared" si="20"/>
        <v>14.098000000000024</v>
      </c>
      <c r="D113" s="1">
        <f t="shared" si="19"/>
        <v>3.8187000000000002</v>
      </c>
    </row>
    <row r="114" spans="2:4" x14ac:dyDescent="0.35">
      <c r="B114">
        <v>112</v>
      </c>
      <c r="C114">
        <f t="shared" si="20"/>
        <v>14.216000000000024</v>
      </c>
      <c r="D114" s="1">
        <f t="shared" si="19"/>
        <v>4.1718000000000002</v>
      </c>
    </row>
    <row r="115" spans="2:4" x14ac:dyDescent="0.35">
      <c r="B115">
        <v>113</v>
      </c>
      <c r="C115">
        <f t="shared" si="20"/>
        <v>14.334000000000024</v>
      </c>
      <c r="D115" s="1">
        <f t="shared" si="19"/>
        <v>4.4938000000000002</v>
      </c>
    </row>
    <row r="116" spans="2:4" x14ac:dyDescent="0.35">
      <c r="B116">
        <v>114</v>
      </c>
      <c r="C116">
        <f t="shared" si="20"/>
        <v>14.452000000000025</v>
      </c>
      <c r="D116" s="1">
        <f t="shared" si="19"/>
        <v>4.7804000000000002</v>
      </c>
    </row>
    <row r="117" spans="2:4" x14ac:dyDescent="0.35">
      <c r="B117">
        <v>115</v>
      </c>
      <c r="C117">
        <f t="shared" si="20"/>
        <v>14.570000000000025</v>
      </c>
      <c r="D117" s="1">
        <f t="shared" si="19"/>
        <v>5.0275999999999996</v>
      </c>
    </row>
    <row r="118" spans="2:4" x14ac:dyDescent="0.35">
      <c r="B118">
        <v>116</v>
      </c>
      <c r="C118">
        <f t="shared" si="20"/>
        <v>14.688000000000025</v>
      </c>
      <c r="D118" s="1">
        <f t="shared" si="19"/>
        <v>5.2320000000000002</v>
      </c>
    </row>
    <row r="119" spans="2:4" x14ac:dyDescent="0.35">
      <c r="B119">
        <v>117</v>
      </c>
      <c r="C119">
        <f t="shared" si="20"/>
        <v>14.806000000000026</v>
      </c>
      <c r="D119" s="1">
        <f t="shared" si="19"/>
        <v>5.3909000000000002</v>
      </c>
    </row>
    <row r="120" spans="2:4" x14ac:dyDescent="0.35">
      <c r="B120">
        <v>118</v>
      </c>
      <c r="C120">
        <f t="shared" si="20"/>
        <v>14.924000000000026</v>
      </c>
      <c r="D120" s="1">
        <f t="shared" si="19"/>
        <v>5.5019999999999998</v>
      </c>
    </row>
    <row r="121" spans="2:4" x14ac:dyDescent="0.35">
      <c r="B121">
        <v>119</v>
      </c>
      <c r="C121">
        <f t="shared" si="20"/>
        <v>15.042000000000026</v>
      </c>
      <c r="D121" s="1">
        <f t="shared" si="19"/>
        <v>5.5640000000000001</v>
      </c>
    </row>
    <row r="122" spans="2:4" x14ac:dyDescent="0.35">
      <c r="B122">
        <v>120</v>
      </c>
      <c r="C122">
        <f t="shared" si="20"/>
        <v>15.160000000000027</v>
      </c>
      <c r="D122" s="1">
        <f t="shared" si="19"/>
        <v>5.5758999999999999</v>
      </c>
    </row>
    <row r="123" spans="2:4" x14ac:dyDescent="0.35">
      <c r="B123">
        <v>121</v>
      </c>
      <c r="C123">
        <f t="shared" si="20"/>
        <v>15.278000000000027</v>
      </c>
      <c r="D123" s="1">
        <f t="shared" si="19"/>
        <v>5.5377000000000001</v>
      </c>
    </row>
    <row r="124" spans="2:4" x14ac:dyDescent="0.35">
      <c r="B124">
        <v>122</v>
      </c>
      <c r="C124">
        <f t="shared" si="20"/>
        <v>15.396000000000027</v>
      </c>
      <c r="D124" s="1">
        <f t="shared" si="19"/>
        <v>5.4499000000000004</v>
      </c>
    </row>
    <row r="125" spans="2:4" x14ac:dyDescent="0.35">
      <c r="B125">
        <v>123</v>
      </c>
      <c r="C125">
        <f t="shared" si="20"/>
        <v>15.514000000000028</v>
      </c>
      <c r="D125" s="1">
        <f t="shared" si="19"/>
        <v>5.3139000000000003</v>
      </c>
    </row>
    <row r="126" spans="2:4" x14ac:dyDescent="0.35">
      <c r="B126">
        <v>124</v>
      </c>
      <c r="C126">
        <f t="shared" si="20"/>
        <v>15.632000000000028</v>
      </c>
      <c r="D126" s="1">
        <f t="shared" si="19"/>
        <v>5.1315</v>
      </c>
    </row>
    <row r="127" spans="2:4" x14ac:dyDescent="0.35">
      <c r="B127">
        <v>125</v>
      </c>
      <c r="C127">
        <f t="shared" si="20"/>
        <v>15.750000000000028</v>
      </c>
      <c r="D127" s="1">
        <f t="shared" si="19"/>
        <v>4.9054000000000002</v>
      </c>
    </row>
    <row r="128" spans="2:4" x14ac:dyDescent="0.35">
      <c r="B128">
        <v>126</v>
      </c>
      <c r="C128">
        <f t="shared" si="20"/>
        <v>15.868000000000029</v>
      </c>
      <c r="D128" s="1">
        <f t="shared" si="19"/>
        <v>4.6387999999999998</v>
      </c>
    </row>
    <row r="129" spans="2:4" x14ac:dyDescent="0.35">
      <c r="B129">
        <v>127</v>
      </c>
      <c r="C129">
        <f t="shared" si="20"/>
        <v>15.986000000000029</v>
      </c>
      <c r="D129" s="1">
        <f t="shared" si="19"/>
        <v>4.3353999999999999</v>
      </c>
    </row>
    <row r="130" spans="2:4" x14ac:dyDescent="0.35">
      <c r="B130">
        <v>128</v>
      </c>
      <c r="C130">
        <f t="shared" si="20"/>
        <v>16.104000000000028</v>
      </c>
      <c r="D130" s="1">
        <f t="shared" ref="D130:D193" si="22">ROUND(POWER(C130,1/4)+2*SIN(C130)-3*COS(C130),4)</f>
        <v>3.9994999999999998</v>
      </c>
    </row>
    <row r="131" spans="2:4" x14ac:dyDescent="0.35">
      <c r="B131">
        <v>129</v>
      </c>
      <c r="C131">
        <f t="shared" si="20"/>
        <v>16.222000000000026</v>
      </c>
      <c r="D131" s="1">
        <f t="shared" si="22"/>
        <v>3.6358000000000001</v>
      </c>
    </row>
    <row r="132" spans="2:4" x14ac:dyDescent="0.35">
      <c r="B132">
        <v>130</v>
      </c>
      <c r="C132">
        <f t="shared" ref="C132:C195" si="23">C131+$C$1</f>
        <v>16.340000000000025</v>
      </c>
      <c r="D132" s="1">
        <f t="shared" si="22"/>
        <v>3.2494000000000001</v>
      </c>
    </row>
    <row r="133" spans="2:4" x14ac:dyDescent="0.35">
      <c r="B133">
        <v>131</v>
      </c>
      <c r="C133">
        <f t="shared" si="23"/>
        <v>16.458000000000023</v>
      </c>
      <c r="D133" s="1">
        <f t="shared" si="22"/>
        <v>2.8458000000000001</v>
      </c>
    </row>
    <row r="134" spans="2:4" x14ac:dyDescent="0.35">
      <c r="B134">
        <v>132</v>
      </c>
      <c r="C134">
        <f t="shared" si="23"/>
        <v>16.576000000000022</v>
      </c>
      <c r="D134" s="1">
        <f t="shared" si="22"/>
        <v>2.4306000000000001</v>
      </c>
    </row>
    <row r="135" spans="2:4" x14ac:dyDescent="0.35">
      <c r="B135">
        <v>133</v>
      </c>
      <c r="C135">
        <f t="shared" si="23"/>
        <v>16.69400000000002</v>
      </c>
      <c r="D135" s="1">
        <f t="shared" si="22"/>
        <v>2.0097</v>
      </c>
    </row>
    <row r="136" spans="2:4" x14ac:dyDescent="0.35">
      <c r="B136">
        <v>134</v>
      </c>
      <c r="C136">
        <f t="shared" si="23"/>
        <v>16.812000000000019</v>
      </c>
      <c r="D136" s="1">
        <f t="shared" si="22"/>
        <v>1.5888</v>
      </c>
    </row>
    <row r="137" spans="2:4" x14ac:dyDescent="0.35">
      <c r="B137">
        <v>135</v>
      </c>
      <c r="C137">
        <f t="shared" si="23"/>
        <v>16.930000000000017</v>
      </c>
      <c r="D137" s="1">
        <f t="shared" si="22"/>
        <v>1.1740999999999999</v>
      </c>
    </row>
    <row r="138" spans="2:4" x14ac:dyDescent="0.35">
      <c r="B138">
        <v>136</v>
      </c>
      <c r="C138">
        <f t="shared" si="23"/>
        <v>17.048000000000016</v>
      </c>
      <c r="D138" s="1">
        <f t="shared" si="22"/>
        <v>0.77110000000000001</v>
      </c>
    </row>
    <row r="139" spans="2:4" x14ac:dyDescent="0.35">
      <c r="B139">
        <v>137</v>
      </c>
      <c r="C139">
        <f t="shared" si="23"/>
        <v>17.166000000000015</v>
      </c>
      <c r="D139" s="1">
        <f t="shared" si="22"/>
        <v>0.38569999999999999</v>
      </c>
    </row>
    <row r="140" spans="2:4" x14ac:dyDescent="0.35">
      <c r="B140">
        <v>138</v>
      </c>
      <c r="C140">
        <f t="shared" si="23"/>
        <v>17.284000000000013</v>
      </c>
      <c r="D140" s="1">
        <f t="shared" si="22"/>
        <v>2.3300000000000001E-2</v>
      </c>
    </row>
    <row r="141" spans="2:4" x14ac:dyDescent="0.35">
      <c r="B141">
        <v>139</v>
      </c>
      <c r="C141">
        <f t="shared" si="23"/>
        <v>17.402000000000012</v>
      </c>
      <c r="D141" s="1">
        <f t="shared" si="22"/>
        <v>-0.31119999999999998</v>
      </c>
    </row>
    <row r="142" spans="2:4" x14ac:dyDescent="0.35">
      <c r="B142">
        <v>140</v>
      </c>
      <c r="C142">
        <f t="shared" si="23"/>
        <v>17.52000000000001</v>
      </c>
      <c r="D142" s="1">
        <f t="shared" si="22"/>
        <v>-0.6129</v>
      </c>
    </row>
    <row r="143" spans="2:4" x14ac:dyDescent="0.35">
      <c r="B143">
        <v>141</v>
      </c>
      <c r="C143">
        <f t="shared" si="23"/>
        <v>17.638000000000009</v>
      </c>
      <c r="D143" s="1">
        <f t="shared" si="22"/>
        <v>-0.87770000000000004</v>
      </c>
    </row>
    <row r="144" spans="2:4" x14ac:dyDescent="0.35">
      <c r="B144">
        <v>142</v>
      </c>
      <c r="C144">
        <f t="shared" si="23"/>
        <v>17.756000000000007</v>
      </c>
      <c r="D144" s="1">
        <f t="shared" si="22"/>
        <v>-1.1017999999999999</v>
      </c>
    </row>
    <row r="145" spans="2:4" x14ac:dyDescent="0.35">
      <c r="B145">
        <v>143</v>
      </c>
      <c r="C145">
        <f t="shared" si="23"/>
        <v>17.874000000000006</v>
      </c>
      <c r="D145" s="1">
        <f t="shared" si="22"/>
        <v>-1.282</v>
      </c>
    </row>
    <row r="146" spans="2:4" x14ac:dyDescent="0.35">
      <c r="B146">
        <v>144</v>
      </c>
      <c r="C146">
        <f t="shared" si="23"/>
        <v>17.992000000000004</v>
      </c>
      <c r="D146" s="1">
        <f t="shared" si="22"/>
        <v>-1.4157999999999999</v>
      </c>
    </row>
    <row r="147" spans="2:4" x14ac:dyDescent="0.35">
      <c r="B147">
        <v>145</v>
      </c>
      <c r="C147">
        <f t="shared" si="23"/>
        <v>18.110000000000003</v>
      </c>
      <c r="D147" s="1">
        <f t="shared" si="22"/>
        <v>-1.5013000000000001</v>
      </c>
    </row>
    <row r="148" spans="2:4" x14ac:dyDescent="0.35">
      <c r="B148">
        <v>146</v>
      </c>
      <c r="C148">
        <f t="shared" si="23"/>
        <v>18.228000000000002</v>
      </c>
      <c r="D148" s="1">
        <f t="shared" si="22"/>
        <v>-1.5373000000000001</v>
      </c>
    </row>
    <row r="149" spans="2:4" x14ac:dyDescent="0.35">
      <c r="B149">
        <v>147</v>
      </c>
      <c r="C149">
        <f t="shared" si="23"/>
        <v>18.346</v>
      </c>
      <c r="D149" s="1">
        <f t="shared" si="22"/>
        <v>-1.5230999999999999</v>
      </c>
    </row>
    <row r="150" spans="2:4" x14ac:dyDescent="0.35">
      <c r="B150">
        <v>148</v>
      </c>
      <c r="C150">
        <f t="shared" si="23"/>
        <v>18.463999999999999</v>
      </c>
      <c r="D150" s="1">
        <f t="shared" si="22"/>
        <v>-1.4590000000000001</v>
      </c>
    </row>
    <row r="151" spans="2:4" x14ac:dyDescent="0.35">
      <c r="B151">
        <v>149</v>
      </c>
      <c r="C151">
        <f t="shared" si="23"/>
        <v>18.581999999999997</v>
      </c>
      <c r="D151" s="1">
        <f t="shared" si="22"/>
        <v>-1.3458000000000001</v>
      </c>
    </row>
    <row r="152" spans="2:4" x14ac:dyDescent="0.35">
      <c r="B152">
        <v>150</v>
      </c>
      <c r="C152">
        <f t="shared" si="23"/>
        <v>18.699999999999996</v>
      </c>
      <c r="D152" s="1">
        <f t="shared" si="22"/>
        <v>-1.1850000000000001</v>
      </c>
    </row>
    <row r="153" spans="2:4" x14ac:dyDescent="0.35">
      <c r="B153">
        <v>151</v>
      </c>
      <c r="C153">
        <f t="shared" si="23"/>
        <v>18.817999999999994</v>
      </c>
      <c r="D153" s="1">
        <f t="shared" si="22"/>
        <v>-0.9788</v>
      </c>
    </row>
    <row r="154" spans="2:4" x14ac:dyDescent="0.35">
      <c r="B154">
        <v>152</v>
      </c>
      <c r="C154">
        <f t="shared" si="23"/>
        <v>18.935999999999993</v>
      </c>
      <c r="D154" s="1">
        <f t="shared" si="22"/>
        <v>-0.73009999999999997</v>
      </c>
    </row>
    <row r="155" spans="2:4" x14ac:dyDescent="0.35">
      <c r="B155">
        <v>153</v>
      </c>
      <c r="C155">
        <f t="shared" si="23"/>
        <v>19.053999999999991</v>
      </c>
      <c r="D155" s="1">
        <f t="shared" si="22"/>
        <v>-0.44219999999999998</v>
      </c>
    </row>
    <row r="156" spans="2:4" x14ac:dyDescent="0.35">
      <c r="B156">
        <v>154</v>
      </c>
      <c r="C156">
        <f t="shared" si="23"/>
        <v>19.17199999999999</v>
      </c>
      <c r="D156" s="1">
        <f t="shared" si="22"/>
        <v>-0.1191</v>
      </c>
    </row>
    <row r="157" spans="2:4" x14ac:dyDescent="0.35">
      <c r="B157">
        <v>155</v>
      </c>
      <c r="C157">
        <f t="shared" si="23"/>
        <v>19.289999999999988</v>
      </c>
      <c r="D157" s="1">
        <f t="shared" si="22"/>
        <v>0.23469999999999999</v>
      </c>
    </row>
    <row r="158" spans="2:4" x14ac:dyDescent="0.35">
      <c r="B158">
        <v>156</v>
      </c>
      <c r="C158">
        <f t="shared" si="23"/>
        <v>19.407999999999987</v>
      </c>
      <c r="D158" s="1">
        <f t="shared" si="22"/>
        <v>0.61439999999999995</v>
      </c>
    </row>
    <row r="159" spans="2:4" x14ac:dyDescent="0.35">
      <c r="B159">
        <v>157</v>
      </c>
      <c r="C159">
        <f t="shared" si="23"/>
        <v>19.525999999999986</v>
      </c>
      <c r="D159" s="1">
        <f t="shared" si="22"/>
        <v>1.0146999999999999</v>
      </c>
    </row>
    <row r="160" spans="2:4" x14ac:dyDescent="0.35">
      <c r="B160">
        <v>158</v>
      </c>
      <c r="C160">
        <f t="shared" si="23"/>
        <v>19.643999999999984</v>
      </c>
      <c r="D160" s="1">
        <f t="shared" si="22"/>
        <v>1.4301999999999999</v>
      </c>
    </row>
    <row r="161" spans="2:4" x14ac:dyDescent="0.35">
      <c r="B161">
        <v>159</v>
      </c>
      <c r="C161">
        <f t="shared" si="23"/>
        <v>19.761999999999983</v>
      </c>
      <c r="D161" s="1">
        <f t="shared" si="22"/>
        <v>1.855</v>
      </c>
    </row>
    <row r="162" spans="2:4" x14ac:dyDescent="0.35">
      <c r="B162">
        <v>160</v>
      </c>
      <c r="C162">
        <f t="shared" si="23"/>
        <v>19.879999999999981</v>
      </c>
      <c r="D162" s="1">
        <f t="shared" si="22"/>
        <v>2.2833000000000001</v>
      </c>
    </row>
    <row r="163" spans="2:4" x14ac:dyDescent="0.35">
      <c r="B163">
        <v>161</v>
      </c>
      <c r="C163">
        <f t="shared" si="23"/>
        <v>19.99799999999998</v>
      </c>
      <c r="D163" s="1">
        <f t="shared" si="22"/>
        <v>2.7092000000000001</v>
      </c>
    </row>
    <row r="164" spans="2:4" x14ac:dyDescent="0.35">
      <c r="B164">
        <v>162</v>
      </c>
      <c r="C164">
        <f t="shared" si="23"/>
        <v>20.115999999999978</v>
      </c>
      <c r="D164" s="1">
        <f t="shared" si="22"/>
        <v>3.1269</v>
      </c>
    </row>
    <row r="165" spans="2:4" x14ac:dyDescent="0.35">
      <c r="B165">
        <v>163</v>
      </c>
      <c r="C165">
        <f t="shared" si="23"/>
        <v>20.233999999999977</v>
      </c>
      <c r="D165" s="1">
        <f t="shared" si="22"/>
        <v>3.5304000000000002</v>
      </c>
    </row>
    <row r="166" spans="2:4" x14ac:dyDescent="0.35">
      <c r="B166">
        <v>164</v>
      </c>
      <c r="C166">
        <f t="shared" si="23"/>
        <v>20.351999999999975</v>
      </c>
      <c r="D166" s="1">
        <f t="shared" si="22"/>
        <v>3.9144000000000001</v>
      </c>
    </row>
    <row r="167" spans="2:4" x14ac:dyDescent="0.35">
      <c r="B167">
        <v>165</v>
      </c>
      <c r="C167">
        <f t="shared" si="23"/>
        <v>20.469999999999974</v>
      </c>
      <c r="D167" s="1">
        <f t="shared" si="22"/>
        <v>4.2735000000000003</v>
      </c>
    </row>
    <row r="168" spans="2:4" x14ac:dyDescent="0.35">
      <c r="B168">
        <v>166</v>
      </c>
      <c r="C168">
        <f t="shared" si="23"/>
        <v>20.587999999999973</v>
      </c>
      <c r="D168" s="1">
        <f t="shared" si="22"/>
        <v>4.6026999999999996</v>
      </c>
    </row>
    <row r="169" spans="2:4" x14ac:dyDescent="0.35">
      <c r="B169">
        <v>167</v>
      </c>
      <c r="C169">
        <f t="shared" si="23"/>
        <v>20.705999999999971</v>
      </c>
      <c r="D169" s="1">
        <f t="shared" si="22"/>
        <v>4.8975</v>
      </c>
    </row>
    <row r="170" spans="2:4" x14ac:dyDescent="0.35">
      <c r="B170">
        <v>168</v>
      </c>
      <c r="C170">
        <f t="shared" si="23"/>
        <v>20.82399999999997</v>
      </c>
      <c r="D170" s="1">
        <f t="shared" si="22"/>
        <v>5.1538000000000004</v>
      </c>
    </row>
    <row r="171" spans="2:4" x14ac:dyDescent="0.35">
      <c r="B171">
        <v>169</v>
      </c>
      <c r="C171">
        <f t="shared" si="23"/>
        <v>20.941999999999968</v>
      </c>
      <c r="D171" s="1">
        <f t="shared" si="22"/>
        <v>5.3681000000000001</v>
      </c>
    </row>
    <row r="172" spans="2:4" x14ac:dyDescent="0.35">
      <c r="B172">
        <v>170</v>
      </c>
      <c r="C172">
        <f t="shared" si="23"/>
        <v>21.059999999999967</v>
      </c>
      <c r="D172" s="1">
        <f t="shared" si="22"/>
        <v>5.5376000000000003</v>
      </c>
    </row>
    <row r="173" spans="2:4" x14ac:dyDescent="0.35">
      <c r="B173">
        <v>171</v>
      </c>
      <c r="C173">
        <f t="shared" si="23"/>
        <v>21.177999999999965</v>
      </c>
      <c r="D173" s="1">
        <f t="shared" si="22"/>
        <v>5.6597999999999997</v>
      </c>
    </row>
    <row r="174" spans="2:4" x14ac:dyDescent="0.35">
      <c r="B174">
        <v>172</v>
      </c>
      <c r="C174">
        <f t="shared" si="23"/>
        <v>21.295999999999964</v>
      </c>
      <c r="D174" s="1">
        <f t="shared" si="22"/>
        <v>5.7331000000000003</v>
      </c>
    </row>
    <row r="175" spans="2:4" x14ac:dyDescent="0.35">
      <c r="B175">
        <v>173</v>
      </c>
      <c r="C175">
        <f t="shared" si="23"/>
        <v>21.413999999999962</v>
      </c>
      <c r="D175" s="1">
        <f t="shared" si="22"/>
        <v>5.7565</v>
      </c>
    </row>
    <row r="176" spans="2:4" x14ac:dyDescent="0.35">
      <c r="B176">
        <v>174</v>
      </c>
      <c r="C176">
        <f t="shared" si="23"/>
        <v>21.531999999999961</v>
      </c>
      <c r="D176" s="1">
        <f t="shared" si="22"/>
        <v>5.7298</v>
      </c>
    </row>
    <row r="177" spans="2:4" x14ac:dyDescent="0.35">
      <c r="B177">
        <v>175</v>
      </c>
      <c r="C177">
        <f t="shared" si="23"/>
        <v>21.649999999999959</v>
      </c>
      <c r="D177" s="1">
        <f t="shared" si="22"/>
        <v>5.6532999999999998</v>
      </c>
    </row>
    <row r="178" spans="2:4" x14ac:dyDescent="0.35">
      <c r="B178">
        <v>176</v>
      </c>
      <c r="C178">
        <f t="shared" si="23"/>
        <v>21.767999999999958</v>
      </c>
      <c r="D178" s="1">
        <f t="shared" si="22"/>
        <v>5.5282</v>
      </c>
    </row>
    <row r="179" spans="2:4" x14ac:dyDescent="0.35">
      <c r="B179">
        <v>177</v>
      </c>
      <c r="C179">
        <f t="shared" si="23"/>
        <v>21.885999999999957</v>
      </c>
      <c r="D179" s="1">
        <f t="shared" si="22"/>
        <v>5.3563000000000001</v>
      </c>
    </row>
    <row r="180" spans="2:4" x14ac:dyDescent="0.35">
      <c r="B180">
        <v>178</v>
      </c>
      <c r="C180">
        <f t="shared" si="23"/>
        <v>22.003999999999955</v>
      </c>
      <c r="D180" s="1">
        <f t="shared" si="22"/>
        <v>5.1398999999999999</v>
      </c>
    </row>
    <row r="181" spans="2:4" x14ac:dyDescent="0.35">
      <c r="B181">
        <v>179</v>
      </c>
      <c r="C181">
        <f t="shared" si="23"/>
        <v>22.121999999999954</v>
      </c>
      <c r="D181" s="1">
        <f t="shared" si="22"/>
        <v>4.8821000000000003</v>
      </c>
    </row>
    <row r="182" spans="2:4" x14ac:dyDescent="0.35">
      <c r="B182">
        <v>180</v>
      </c>
      <c r="C182">
        <f t="shared" si="23"/>
        <v>22.239999999999952</v>
      </c>
      <c r="D182" s="1">
        <f t="shared" si="22"/>
        <v>4.5865999999999998</v>
      </c>
    </row>
    <row r="183" spans="2:4" x14ac:dyDescent="0.35">
      <c r="B183">
        <v>181</v>
      </c>
      <c r="C183">
        <f t="shared" si="23"/>
        <v>22.357999999999951</v>
      </c>
      <c r="D183" s="1">
        <f t="shared" si="22"/>
        <v>4.2575000000000003</v>
      </c>
    </row>
    <row r="184" spans="2:4" x14ac:dyDescent="0.35">
      <c r="B184">
        <v>182</v>
      </c>
      <c r="C184">
        <f t="shared" si="23"/>
        <v>22.475999999999949</v>
      </c>
      <c r="D184" s="1">
        <f t="shared" si="22"/>
        <v>3.8994</v>
      </c>
    </row>
    <row r="185" spans="2:4" x14ac:dyDescent="0.35">
      <c r="B185">
        <v>183</v>
      </c>
      <c r="C185">
        <f t="shared" si="23"/>
        <v>22.593999999999948</v>
      </c>
      <c r="D185" s="1">
        <f t="shared" si="22"/>
        <v>3.5173999999999999</v>
      </c>
    </row>
    <row r="186" spans="2:4" x14ac:dyDescent="0.35">
      <c r="B186">
        <v>184</v>
      </c>
      <c r="C186">
        <f t="shared" si="23"/>
        <v>22.711999999999946</v>
      </c>
      <c r="D186" s="1">
        <f t="shared" si="22"/>
        <v>3.1166999999999998</v>
      </c>
    </row>
    <row r="187" spans="2:4" x14ac:dyDescent="0.35">
      <c r="B187">
        <v>185</v>
      </c>
      <c r="C187">
        <f t="shared" si="23"/>
        <v>22.829999999999945</v>
      </c>
      <c r="D187" s="1">
        <f t="shared" si="22"/>
        <v>2.7031000000000001</v>
      </c>
    </row>
    <row r="188" spans="2:4" x14ac:dyDescent="0.35">
      <c r="B188">
        <v>186</v>
      </c>
      <c r="C188">
        <f t="shared" si="23"/>
        <v>22.947999999999944</v>
      </c>
      <c r="D188" s="1">
        <f t="shared" si="22"/>
        <v>2.2822</v>
      </c>
    </row>
    <row r="189" spans="2:4" x14ac:dyDescent="0.35">
      <c r="B189">
        <v>187</v>
      </c>
      <c r="C189">
        <f t="shared" si="23"/>
        <v>23.065999999999942</v>
      </c>
      <c r="D189" s="1">
        <f t="shared" si="22"/>
        <v>1.8601000000000001</v>
      </c>
    </row>
    <row r="190" spans="2:4" x14ac:dyDescent="0.35">
      <c r="B190">
        <v>188</v>
      </c>
      <c r="C190">
        <f t="shared" si="23"/>
        <v>23.183999999999941</v>
      </c>
      <c r="D190" s="1">
        <f t="shared" si="22"/>
        <v>1.4424999999999999</v>
      </c>
    </row>
    <row r="191" spans="2:4" x14ac:dyDescent="0.35">
      <c r="B191">
        <v>189</v>
      </c>
      <c r="C191">
        <f t="shared" si="23"/>
        <v>23.301999999999939</v>
      </c>
      <c r="D191" s="1">
        <f t="shared" si="22"/>
        <v>1.0354000000000001</v>
      </c>
    </row>
    <row r="192" spans="2:4" x14ac:dyDescent="0.35">
      <c r="B192">
        <v>190</v>
      </c>
      <c r="C192">
        <f t="shared" si="23"/>
        <v>23.419999999999938</v>
      </c>
      <c r="D192" s="1">
        <f t="shared" si="22"/>
        <v>0.64439999999999997</v>
      </c>
    </row>
    <row r="193" spans="2:4" x14ac:dyDescent="0.35">
      <c r="B193">
        <v>191</v>
      </c>
      <c r="C193">
        <f t="shared" si="23"/>
        <v>23.537999999999936</v>
      </c>
      <c r="D193" s="1">
        <f t="shared" si="22"/>
        <v>0.27500000000000002</v>
      </c>
    </row>
    <row r="194" spans="2:4" x14ac:dyDescent="0.35">
      <c r="B194">
        <v>192</v>
      </c>
      <c r="C194">
        <f t="shared" si="23"/>
        <v>23.655999999999935</v>
      </c>
      <c r="D194" s="1">
        <f t="shared" ref="D194:D202" si="24">ROUND(POWER(C194,1/4)+2*SIN(C194)-3*COS(C194),4)</f>
        <v>-6.7500000000000004E-2</v>
      </c>
    </row>
    <row r="195" spans="2:4" x14ac:dyDescent="0.35">
      <c r="B195">
        <v>193</v>
      </c>
      <c r="C195">
        <f t="shared" si="23"/>
        <v>23.773999999999933</v>
      </c>
      <c r="D195" s="1">
        <f t="shared" si="24"/>
        <v>-0.3785</v>
      </c>
    </row>
    <row r="196" spans="2:4" x14ac:dyDescent="0.35">
      <c r="B196">
        <v>194</v>
      </c>
      <c r="C196">
        <f t="shared" ref="C196:C202" si="25">C195+$C$1</f>
        <v>23.891999999999932</v>
      </c>
      <c r="D196" s="1">
        <f t="shared" si="24"/>
        <v>-0.65349999999999997</v>
      </c>
    </row>
    <row r="197" spans="2:4" x14ac:dyDescent="0.35">
      <c r="B197">
        <v>195</v>
      </c>
      <c r="C197">
        <f t="shared" si="25"/>
        <v>24.009999999999931</v>
      </c>
      <c r="D197" s="1">
        <f t="shared" si="24"/>
        <v>-0.88859999999999995</v>
      </c>
    </row>
    <row r="198" spans="2:4" x14ac:dyDescent="0.35">
      <c r="B198">
        <v>196</v>
      </c>
      <c r="C198">
        <f t="shared" si="25"/>
        <v>24.127999999999929</v>
      </c>
      <c r="D198" s="1">
        <f t="shared" si="24"/>
        <v>-1.0807</v>
      </c>
    </row>
    <row r="199" spans="2:4" x14ac:dyDescent="0.35">
      <c r="B199">
        <v>197</v>
      </c>
      <c r="C199">
        <f t="shared" si="25"/>
        <v>24.245999999999928</v>
      </c>
      <c r="D199" s="1">
        <f t="shared" si="24"/>
        <v>-1.2267999999999999</v>
      </c>
    </row>
    <row r="200" spans="2:4" x14ac:dyDescent="0.35">
      <c r="B200">
        <v>198</v>
      </c>
      <c r="C200">
        <f t="shared" si="25"/>
        <v>24.363999999999926</v>
      </c>
      <c r="D200" s="1">
        <f t="shared" si="24"/>
        <v>-1.3250999999999999</v>
      </c>
    </row>
    <row r="201" spans="2:4" x14ac:dyDescent="0.35">
      <c r="B201">
        <v>199</v>
      </c>
      <c r="C201">
        <f t="shared" si="25"/>
        <v>24.481999999999925</v>
      </c>
      <c r="D201" s="1">
        <f t="shared" si="24"/>
        <v>-1.3741000000000001</v>
      </c>
    </row>
    <row r="202" spans="2:4" x14ac:dyDescent="0.35">
      <c r="B202">
        <v>200</v>
      </c>
      <c r="C202">
        <f t="shared" si="25"/>
        <v>24.599999999999923</v>
      </c>
      <c r="D202" s="1">
        <f t="shared" si="24"/>
        <v>-1.373</v>
      </c>
    </row>
  </sheetData>
  <mergeCells count="2">
    <mergeCell ref="F11:H11"/>
    <mergeCell ref="F29:H29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3BAF-E979-4C0B-81A5-53215E90B212}">
  <dimension ref="A1:R52"/>
  <sheetViews>
    <sheetView workbookViewId="0">
      <selection activeCell="K11" sqref="K11"/>
    </sheetView>
  </sheetViews>
  <sheetFormatPr defaultRowHeight="14.5" x14ac:dyDescent="0.35"/>
  <cols>
    <col min="8" max="8" width="10.90625" customWidth="1"/>
    <col min="10" max="11" width="12.453125" bestFit="1" customWidth="1"/>
    <col min="12" max="12" width="11.81640625" bestFit="1" customWidth="1"/>
    <col min="13" max="13" width="12.453125" bestFit="1" customWidth="1"/>
  </cols>
  <sheetData>
    <row r="1" spans="1:17" x14ac:dyDescent="0.35">
      <c r="A1" t="s">
        <v>55</v>
      </c>
      <c r="B1" t="s">
        <v>50</v>
      </c>
      <c r="C1" t="s">
        <v>51</v>
      </c>
      <c r="D1" s="49" t="s">
        <v>52</v>
      </c>
      <c r="E1">
        <f>5+38*10^(-2)</f>
        <v>5.38</v>
      </c>
      <c r="F1">
        <f>(E1-B2)/E2</f>
        <v>34.488188976377948</v>
      </c>
    </row>
    <row r="2" spans="1:17" x14ac:dyDescent="0.35">
      <c r="A2">
        <v>0</v>
      </c>
      <c r="B2">
        <v>1</v>
      </c>
      <c r="C2">
        <v>-3.0437400000000001</v>
      </c>
      <c r="D2" s="49" t="s">
        <v>53</v>
      </c>
      <c r="E2">
        <f>B3-B2</f>
        <v>0.127</v>
      </c>
    </row>
    <row r="3" spans="1:17" x14ac:dyDescent="0.35">
      <c r="A3">
        <v>1</v>
      </c>
      <c r="B3">
        <v>1.127</v>
      </c>
      <c r="C3">
        <v>-2.7483300000000002</v>
      </c>
      <c r="D3" s="49" t="s">
        <v>54</v>
      </c>
      <c r="E3">
        <v>8</v>
      </c>
    </row>
    <row r="4" spans="1:17" x14ac:dyDescent="0.35">
      <c r="A4">
        <v>2</v>
      </c>
      <c r="B4">
        <v>1.254</v>
      </c>
      <c r="C4">
        <v>-2.4383499999999998</v>
      </c>
      <c r="J4" t="s">
        <v>27</v>
      </c>
      <c r="K4" t="s">
        <v>22</v>
      </c>
      <c r="L4" t="s">
        <v>26</v>
      </c>
      <c r="M4" t="s">
        <v>21</v>
      </c>
      <c r="N4" t="s">
        <v>25</v>
      </c>
      <c r="O4" t="s">
        <v>20</v>
      </c>
      <c r="P4" t="s">
        <v>24</v>
      </c>
      <c r="Q4" t="s">
        <v>19</v>
      </c>
    </row>
    <row r="5" spans="1:17" x14ac:dyDescent="0.35">
      <c r="A5">
        <v>3</v>
      </c>
      <c r="B5">
        <v>1.381</v>
      </c>
      <c r="C5">
        <v>-2.06671</v>
      </c>
      <c r="H5">
        <v>31</v>
      </c>
      <c r="I5">
        <f>VLOOKUP(H5,A2:C400,2)</f>
        <v>4.9370000000000003</v>
      </c>
      <c r="J5">
        <f>VLOOKUP(H5,A2:C400,3)</f>
        <v>-0.47593999999999997</v>
      </c>
    </row>
    <row r="6" spans="1:17" x14ac:dyDescent="0.35">
      <c r="A6">
        <v>4</v>
      </c>
      <c r="B6">
        <v>1.508</v>
      </c>
      <c r="C6">
        <v>-1.6142099999999999</v>
      </c>
      <c r="H6">
        <v>32</v>
      </c>
      <c r="I6">
        <f t="shared" ref="I6:I12" si="0">VLOOKUP(H6,A3:C401,2)</f>
        <v>5.0640000000000001</v>
      </c>
      <c r="J6">
        <f t="shared" ref="J6:J12" si="1">VLOOKUP(H6,A3:C401,3)</f>
        <v>0.52373999999999998</v>
      </c>
      <c r="K6">
        <f>J6-J5</f>
        <v>0.9996799999999999</v>
      </c>
    </row>
    <row r="7" spans="1:17" x14ac:dyDescent="0.35">
      <c r="A7">
        <v>5</v>
      </c>
      <c r="B7">
        <v>1.635</v>
      </c>
      <c r="C7">
        <v>-1.0800099999999999</v>
      </c>
      <c r="H7">
        <v>33</v>
      </c>
      <c r="I7">
        <f t="shared" si="0"/>
        <v>5.1909999999999998</v>
      </c>
      <c r="J7">
        <f t="shared" si="1"/>
        <v>1.5102199999999999</v>
      </c>
      <c r="K7">
        <f>J7-J6</f>
        <v>0.98647999999999991</v>
      </c>
      <c r="L7">
        <f>K7-K6</f>
        <v>-1.319999999999999E-2</v>
      </c>
    </row>
    <row r="8" spans="1:17" x14ac:dyDescent="0.35">
      <c r="A8">
        <v>6</v>
      </c>
      <c r="B8">
        <v>1.762</v>
      </c>
      <c r="C8">
        <v>-0.47727000000000003</v>
      </c>
      <c r="H8">
        <f>ROUND(F1,0)</f>
        <v>34</v>
      </c>
      <c r="I8">
        <f t="shared" si="0"/>
        <v>5.3179999999999996</v>
      </c>
      <c r="J8" s="17">
        <f t="shared" si="1"/>
        <v>2.4178099999999998</v>
      </c>
      <c r="K8">
        <f t="shared" ref="K7:O12" si="2">J8-J7</f>
        <v>0.9075899999999999</v>
      </c>
      <c r="L8">
        <f t="shared" si="2"/>
        <v>-7.8890000000000016E-2</v>
      </c>
      <c r="M8">
        <f>L8-L7</f>
        <v>-6.5690000000000026E-2</v>
      </c>
    </row>
    <row r="9" spans="1:17" x14ac:dyDescent="0.35">
      <c r="A9">
        <v>7</v>
      </c>
      <c r="B9">
        <v>1.889</v>
      </c>
      <c r="C9">
        <v>0.16961999999999999</v>
      </c>
      <c r="H9">
        <v>35</v>
      </c>
      <c r="I9">
        <f t="shared" si="0"/>
        <v>5.4450000000000003</v>
      </c>
      <c r="J9" s="17">
        <f t="shared" si="1"/>
        <v>3.1848900000000002</v>
      </c>
      <c r="K9" s="2">
        <f t="shared" si="2"/>
        <v>0.76708000000000043</v>
      </c>
      <c r="L9" s="17">
        <f t="shared" si="2"/>
        <v>-0.14050999999999947</v>
      </c>
      <c r="M9">
        <f t="shared" si="2"/>
        <v>-6.1619999999999453E-2</v>
      </c>
      <c r="N9">
        <f>M9-M8</f>
        <v>4.0700000000005732E-3</v>
      </c>
    </row>
    <row r="10" spans="1:17" x14ac:dyDescent="0.35">
      <c r="A10">
        <v>8</v>
      </c>
      <c r="B10">
        <v>2.016</v>
      </c>
      <c r="C10">
        <v>0.82776000000000005</v>
      </c>
      <c r="H10">
        <v>36</v>
      </c>
      <c r="I10">
        <f t="shared" si="0"/>
        <v>5.5720000000000001</v>
      </c>
      <c r="J10">
        <f t="shared" si="1"/>
        <v>3.75813</v>
      </c>
      <c r="K10">
        <f t="shared" si="2"/>
        <v>0.57323999999999975</v>
      </c>
      <c r="L10" s="17">
        <f t="shared" si="2"/>
        <v>-0.19384000000000068</v>
      </c>
      <c r="M10" s="2">
        <f t="shared" si="2"/>
        <v>-5.333000000000121E-2</v>
      </c>
      <c r="N10" s="17">
        <f t="shared" si="2"/>
        <v>8.2899999999982432E-3</v>
      </c>
      <c r="O10">
        <f>N10-N9</f>
        <v>4.2199999999976701E-3</v>
      </c>
    </row>
    <row r="11" spans="1:17" x14ac:dyDescent="0.35">
      <c r="A11">
        <v>9</v>
      </c>
      <c r="B11">
        <v>2.1429999999999998</v>
      </c>
      <c r="C11">
        <v>1.4587000000000001</v>
      </c>
      <c r="H11">
        <v>37</v>
      </c>
      <c r="I11">
        <f t="shared" si="0"/>
        <v>5.6989999999999998</v>
      </c>
      <c r="J11">
        <f t="shared" si="1"/>
        <v>4.0962899999999998</v>
      </c>
      <c r="K11">
        <f t="shared" si="2"/>
        <v>0.33815999999999979</v>
      </c>
      <c r="L11">
        <f t="shared" si="2"/>
        <v>-0.23507999999999996</v>
      </c>
      <c r="M11">
        <f t="shared" si="2"/>
        <v>-4.1239999999999277E-2</v>
      </c>
      <c r="N11" s="17">
        <f t="shared" si="2"/>
        <v>1.2090000000001933E-2</v>
      </c>
      <c r="O11" s="2">
        <f t="shared" si="2"/>
        <v>3.8000000000036893E-3</v>
      </c>
      <c r="P11" s="17">
        <f>O11-O10</f>
        <v>-4.1999999999398074E-4</v>
      </c>
    </row>
    <row r="12" spans="1:17" x14ac:dyDescent="0.35">
      <c r="A12">
        <v>10</v>
      </c>
      <c r="B12">
        <v>2.27</v>
      </c>
      <c r="C12">
        <v>2.0216099999999999</v>
      </c>
      <c r="H12">
        <v>38</v>
      </c>
      <c r="I12">
        <f t="shared" si="0"/>
        <v>5.8259999999999996</v>
      </c>
      <c r="J12">
        <f t="shared" si="1"/>
        <v>4.1731299999999996</v>
      </c>
      <c r="K12">
        <f t="shared" si="2"/>
        <v>7.6839999999999797E-2</v>
      </c>
      <c r="L12">
        <f t="shared" si="2"/>
        <v>-0.26132</v>
      </c>
      <c r="M12">
        <f t="shared" si="2"/>
        <v>-2.6240000000000041E-2</v>
      </c>
      <c r="N12">
        <f t="shared" si="2"/>
        <v>1.4999999999999236E-2</v>
      </c>
      <c r="O12">
        <f t="shared" si="2"/>
        <v>2.9099999999973036E-3</v>
      </c>
      <c r="P12" s="17">
        <f>O12-O11</f>
        <v>-8.9000000000638568E-4</v>
      </c>
      <c r="Q12" s="2">
        <f>P12-P11</f>
        <v>-4.7000000001240494E-4</v>
      </c>
    </row>
    <row r="13" spans="1:17" x14ac:dyDescent="0.35">
      <c r="A13">
        <v>11</v>
      </c>
      <c r="B13">
        <v>2.3969999999999998</v>
      </c>
      <c r="C13">
        <v>2.4767700000000001</v>
      </c>
    </row>
    <row r="14" spans="1:17" x14ac:dyDescent="0.35">
      <c r="A14">
        <v>12</v>
      </c>
      <c r="B14">
        <v>2.524</v>
      </c>
      <c r="C14">
        <v>2.7888899999999999</v>
      </c>
    </row>
    <row r="15" spans="1:17" x14ac:dyDescent="0.35">
      <c r="A15">
        <v>13</v>
      </c>
      <c r="B15">
        <v>2.6509999999999998</v>
      </c>
      <c r="C15">
        <v>2.9302700000000002</v>
      </c>
    </row>
    <row r="16" spans="1:17" x14ac:dyDescent="0.35">
      <c r="A16">
        <v>14</v>
      </c>
      <c r="B16">
        <v>2.778</v>
      </c>
      <c r="C16">
        <v>2.8834</v>
      </c>
    </row>
    <row r="17" spans="1:13" x14ac:dyDescent="0.35">
      <c r="A17">
        <v>15</v>
      </c>
      <c r="B17">
        <v>2.9049999999999998</v>
      </c>
      <c r="C17">
        <v>2.6428799999999999</v>
      </c>
    </row>
    <row r="18" spans="1:13" x14ac:dyDescent="0.35">
      <c r="A18">
        <v>16</v>
      </c>
      <c r="B18">
        <v>3.032</v>
      </c>
      <c r="C18">
        <v>2.21651</v>
      </c>
      <c r="H18" t="s">
        <v>56</v>
      </c>
    </row>
    <row r="19" spans="1:13" x14ac:dyDescent="0.35">
      <c r="A19">
        <v>17</v>
      </c>
      <c r="B19">
        <v>3.1589999999999998</v>
      </c>
      <c r="C19">
        <v>1.6253200000000001</v>
      </c>
      <c r="J19" s="17">
        <f>SUM(J8:J9)/2</f>
        <v>2.8013500000000002</v>
      </c>
      <c r="K19" s="17">
        <f>SUM(L9:L10)/2</f>
        <v>-0.16717500000000007</v>
      </c>
      <c r="L19" s="17">
        <f>SUM(N10:N11)/2</f>
        <v>1.0190000000000088E-2</v>
      </c>
      <c r="M19" s="17">
        <f>SUM(P11:P12)/2</f>
        <v>-6.5500000000018321E-4</v>
      </c>
    </row>
    <row r="20" spans="1:13" x14ac:dyDescent="0.35">
      <c r="A20">
        <v>18</v>
      </c>
      <c r="B20">
        <v>3.286</v>
      </c>
      <c r="C20">
        <v>0.90268999999999999</v>
      </c>
      <c r="H20" t="s">
        <v>57</v>
      </c>
    </row>
    <row r="21" spans="1:13" x14ac:dyDescent="0.35">
      <c r="A21">
        <v>19</v>
      </c>
      <c r="B21">
        <v>3.4129999999999998</v>
      </c>
      <c r="C21">
        <v>9.2450000000000004E-2</v>
      </c>
      <c r="J21" s="17">
        <f>J19/1</f>
        <v>2.8013500000000002</v>
      </c>
      <c r="K21" s="17">
        <f>K19/2/1</f>
        <v>-8.3587500000000037E-2</v>
      </c>
      <c r="L21" s="17">
        <f>L19/4/3/2/1</f>
        <v>4.2458333333333698E-4</v>
      </c>
      <c r="M21" s="17">
        <f>M19/6/5/4/3/2/1</f>
        <v>-9.0972222222247679E-7</v>
      </c>
    </row>
    <row r="22" spans="1:13" x14ac:dyDescent="0.35">
      <c r="A22">
        <v>20</v>
      </c>
      <c r="B22">
        <v>3.54</v>
      </c>
      <c r="C22">
        <v>-0.75382000000000005</v>
      </c>
      <c r="H22" t="s">
        <v>58</v>
      </c>
    </row>
    <row r="23" spans="1:13" x14ac:dyDescent="0.35">
      <c r="A23">
        <v>21</v>
      </c>
      <c r="B23">
        <v>3.6669999999999998</v>
      </c>
      <c r="C23">
        <v>-1.5802</v>
      </c>
      <c r="J23" s="2">
        <f>K9</f>
        <v>0.76708000000000043</v>
      </c>
      <c r="K23" s="2">
        <f>M10</f>
        <v>-5.333000000000121E-2</v>
      </c>
      <c r="L23" s="2">
        <f>O11</f>
        <v>3.8000000000036893E-3</v>
      </c>
      <c r="M23" s="2">
        <f>Q12</f>
        <v>-4.7000000001240494E-4</v>
      </c>
    </row>
    <row r="24" spans="1:13" x14ac:dyDescent="0.35">
      <c r="A24">
        <v>22</v>
      </c>
      <c r="B24">
        <v>3.794</v>
      </c>
      <c r="C24">
        <v>-2.3301799999999999</v>
      </c>
      <c r="H24" t="s">
        <v>57</v>
      </c>
    </row>
    <row r="25" spans="1:13" x14ac:dyDescent="0.35">
      <c r="A25">
        <v>23</v>
      </c>
      <c r="B25">
        <v>3.9209999999999998</v>
      </c>
      <c r="C25">
        <v>-2.9506800000000002</v>
      </c>
      <c r="J25" s="2">
        <f>J23/1</f>
        <v>0.76708000000000043</v>
      </c>
      <c r="K25" s="2">
        <f>K23/3/2/1</f>
        <v>-8.8883333333335344E-3</v>
      </c>
      <c r="L25" s="2">
        <f>L23/5/4/3/2/1</f>
        <v>3.166666666669741E-5</v>
      </c>
      <c r="M25" s="2">
        <f>M23/7/6/5/4/3/2/1</f>
        <v>-9.3253968256429562E-8</v>
      </c>
    </row>
    <row r="26" spans="1:13" x14ac:dyDescent="0.35">
      <c r="A26">
        <v>24</v>
      </c>
      <c r="B26">
        <v>4.048</v>
      </c>
      <c r="C26">
        <v>-3.39581</v>
      </c>
    </row>
    <row r="27" spans="1:13" x14ac:dyDescent="0.35">
      <c r="A27">
        <v>25</v>
      </c>
      <c r="B27">
        <v>4.1749999999999998</v>
      </c>
      <c r="C27">
        <v>-3.63035</v>
      </c>
      <c r="H27" t="s">
        <v>35</v>
      </c>
    </row>
    <row r="28" spans="1:13" x14ac:dyDescent="0.35">
      <c r="A28">
        <v>26</v>
      </c>
      <c r="B28">
        <v>4.3019999999999996</v>
      </c>
      <c r="C28">
        <v>-3.63246</v>
      </c>
      <c r="J28" s="50">
        <v>0</v>
      </c>
      <c r="K28" s="51">
        <v>0</v>
      </c>
      <c r="L28" s="51">
        <v>0</v>
      </c>
      <c r="M28" s="52">
        <v>1</v>
      </c>
    </row>
    <row r="29" spans="1:13" x14ac:dyDescent="0.35">
      <c r="A29">
        <v>27</v>
      </c>
      <c r="B29">
        <v>4.4290000000000003</v>
      </c>
      <c r="C29">
        <v>-3.39554</v>
      </c>
      <c r="I29">
        <v>0.25</v>
      </c>
      <c r="J29" s="53" cm="1">
        <f t="array" ref="J29:M29">K28:N28-I29*J28:M28</f>
        <v>0</v>
      </c>
      <c r="K29" s="54">
        <v>0</v>
      </c>
      <c r="L29" s="54">
        <v>1</v>
      </c>
      <c r="M29" s="55">
        <v>-0.25</v>
      </c>
    </row>
    <row r="30" spans="1:13" x14ac:dyDescent="0.35">
      <c r="A30">
        <v>28</v>
      </c>
      <c r="B30">
        <v>4.556</v>
      </c>
      <c r="C30">
        <v>-2.9291200000000002</v>
      </c>
      <c r="I30">
        <v>2.25</v>
      </c>
      <c r="J30" s="53" cm="1">
        <f t="array" ref="J30:M30">K29:N29-I30*J29:M29</f>
        <v>0</v>
      </c>
      <c r="K30" s="54">
        <v>1</v>
      </c>
      <c r="L30" s="54">
        <v>-2.5</v>
      </c>
      <c r="M30" s="55">
        <v>0.5625</v>
      </c>
    </row>
    <row r="31" spans="1:13" x14ac:dyDescent="0.35">
      <c r="A31">
        <v>29</v>
      </c>
      <c r="B31">
        <v>4.6829999999999998</v>
      </c>
      <c r="C31">
        <v>-2.2585299999999999</v>
      </c>
      <c r="I31">
        <v>6.25</v>
      </c>
      <c r="J31" s="56" cm="1">
        <f t="array" ref="J31:M31">K30:N30-I31*J30:M30</f>
        <v>1</v>
      </c>
      <c r="K31" s="57">
        <v>-8.75</v>
      </c>
      <c r="L31" s="57">
        <v>16.1875</v>
      </c>
      <c r="M31" s="58">
        <v>-3.515625</v>
      </c>
    </row>
    <row r="32" spans="1:13" x14ac:dyDescent="0.35">
      <c r="A32">
        <v>30</v>
      </c>
      <c r="B32">
        <v>4.8099999999999996</v>
      </c>
      <c r="C32">
        <v>-1.42354</v>
      </c>
    </row>
    <row r="33" spans="1:18" x14ac:dyDescent="0.35">
      <c r="A33">
        <v>31</v>
      </c>
      <c r="B33">
        <v>4.9370000000000003</v>
      </c>
      <c r="C33">
        <v>-0.47593999999999997</v>
      </c>
    </row>
    <row r="34" spans="1:18" x14ac:dyDescent="0.35">
      <c r="A34">
        <v>32</v>
      </c>
      <c r="B34">
        <v>5.0640000000000001</v>
      </c>
      <c r="C34">
        <v>0.52373999999999998</v>
      </c>
    </row>
    <row r="35" spans="1:18" x14ac:dyDescent="0.35">
      <c r="A35">
        <v>33</v>
      </c>
      <c r="B35">
        <v>5.1909999999999998</v>
      </c>
      <c r="C35">
        <v>1.5102199999999999</v>
      </c>
    </row>
    <row r="36" spans="1:18" x14ac:dyDescent="0.35">
      <c r="A36">
        <v>34</v>
      </c>
      <c r="B36">
        <v>5.3179999999999996</v>
      </c>
      <c r="C36">
        <v>2.4178099999999998</v>
      </c>
      <c r="H36" t="s">
        <v>59</v>
      </c>
      <c r="J36" t="s">
        <v>13</v>
      </c>
      <c r="K36" t="s">
        <v>12</v>
      </c>
      <c r="L36" t="s">
        <v>11</v>
      </c>
      <c r="M36" t="s">
        <v>10</v>
      </c>
    </row>
    <row r="37" spans="1:18" x14ac:dyDescent="0.35">
      <c r="A37">
        <v>35</v>
      </c>
      <c r="B37">
        <v>5.4450000000000003</v>
      </c>
      <c r="C37">
        <v>3.1848900000000002</v>
      </c>
      <c r="J37" cm="1">
        <f t="array" ref="J37:M37">MMULT(J21:M21,J28:M31)</f>
        <v>-9.0972222222247679E-7</v>
      </c>
      <c r="K37">
        <v>4.3254340277778364E-4</v>
      </c>
      <c r="L37">
        <v>-8.4663684461805611E-2</v>
      </c>
      <c r="M37">
        <v>2.8224889013671879</v>
      </c>
    </row>
    <row r="38" spans="1:18" x14ac:dyDescent="0.35">
      <c r="A38">
        <v>36</v>
      </c>
      <c r="B38">
        <v>5.5720000000000001</v>
      </c>
      <c r="C38">
        <v>3.75813</v>
      </c>
      <c r="H38" t="s">
        <v>60</v>
      </c>
      <c r="J38" t="s">
        <v>8</v>
      </c>
      <c r="K38" t="s">
        <v>7</v>
      </c>
      <c r="L38" t="s">
        <v>6</v>
      </c>
      <c r="M38" t="s">
        <v>5</v>
      </c>
    </row>
    <row r="39" spans="1:18" x14ac:dyDescent="0.35">
      <c r="A39">
        <v>37</v>
      </c>
      <c r="B39">
        <v>5.6989999999999998</v>
      </c>
      <c r="C39">
        <v>4.0962899999999998</v>
      </c>
      <c r="J39" cm="1">
        <f t="array" ref="J39:M39">MMULT(J25:M25,J28:M31)</f>
        <v>-9.3253968256429562E-8</v>
      </c>
      <c r="K39">
        <v>3.2482638888941166E-5</v>
      </c>
      <c r="L39">
        <v>-8.9690095486114289E-3</v>
      </c>
      <c r="M39">
        <v>0.76932022367931596</v>
      </c>
    </row>
    <row r="40" spans="1:18" x14ac:dyDescent="0.35">
      <c r="A40">
        <v>38</v>
      </c>
      <c r="B40">
        <v>5.8259999999999996</v>
      </c>
      <c r="C40">
        <v>4.1731299999999996</v>
      </c>
    </row>
    <row r="41" spans="1:18" x14ac:dyDescent="0.35">
      <c r="A41">
        <v>39</v>
      </c>
      <c r="B41">
        <v>5.9530000000000003</v>
      </c>
      <c r="C41">
        <v>3.9794299999999998</v>
      </c>
      <c r="H41" t="s">
        <v>63</v>
      </c>
      <c r="J41">
        <f>J39</f>
        <v>-9.3253968256429562E-8</v>
      </c>
      <c r="K41">
        <f>J37</f>
        <v>-9.0972222222247679E-7</v>
      </c>
      <c r="L41">
        <f>K39</f>
        <v>3.2482638888941166E-5</v>
      </c>
      <c r="M41">
        <f>K37</f>
        <v>4.3254340277778364E-4</v>
      </c>
      <c r="N41">
        <f>L39</f>
        <v>-8.9690095486114289E-3</v>
      </c>
      <c r="O41">
        <f>L37</f>
        <v>-8.4663684461805611E-2</v>
      </c>
      <c r="P41">
        <f>M39</f>
        <v>0.76932022367931596</v>
      </c>
      <c r="Q41">
        <f>M37</f>
        <v>2.8224889013671879</v>
      </c>
    </row>
    <row r="42" spans="1:18" x14ac:dyDescent="0.35">
      <c r="A42">
        <v>40</v>
      </c>
      <c r="B42">
        <v>6.08</v>
      </c>
      <c r="C42">
        <v>3.5238800000000001</v>
      </c>
      <c r="G42">
        <f>E1</f>
        <v>5.38</v>
      </c>
      <c r="I42">
        <f>(G42-I8)/E2-1/2</f>
        <v>-1.1811023622045058E-2</v>
      </c>
      <c r="J42">
        <f>J41</f>
        <v>-9.3253968256429562E-8</v>
      </c>
      <c r="K42">
        <f>J42*$I$42+K41</f>
        <v>-9.0862079740055068E-7</v>
      </c>
      <c r="L42">
        <f>K42*$I$42+L41</f>
        <v>3.2493370630642749E-5</v>
      </c>
      <c r="M42">
        <f t="shared" ref="L42:Q42" si="3">L42*$I$42+M41</f>
        <v>4.3215962280970528E-4</v>
      </c>
      <c r="N42">
        <f t="shared" si="3"/>
        <v>-8.9741137961249287E-3</v>
      </c>
      <c r="O42">
        <f t="shared" si="3"/>
        <v>-8.4557690991772655E-2</v>
      </c>
      <c r="P42">
        <f t="shared" si="3"/>
        <v>0.77031893656504535</v>
      </c>
      <c r="Q42" s="2">
        <f t="shared" si="3"/>
        <v>2.8133906462109097</v>
      </c>
      <c r="R42" t="s">
        <v>61</v>
      </c>
    </row>
    <row r="43" spans="1:18" x14ac:dyDescent="0.35">
      <c r="A43">
        <v>41</v>
      </c>
      <c r="B43">
        <v>6.2069999999999999</v>
      </c>
      <c r="C43">
        <v>2.8326899999999999</v>
      </c>
      <c r="J43">
        <f>J41</f>
        <v>-9.3253968256429562E-8</v>
      </c>
      <c r="K43">
        <f>$I$42*J43+K42</f>
        <v>-9.0751937257862458E-7</v>
      </c>
      <c r="L43">
        <f t="shared" ref="L43:P43" si="4">$I$42*K43+L42</f>
        <v>3.2504089363389741E-5</v>
      </c>
      <c r="M43">
        <f t="shared" si="4"/>
        <v>4.3177571624242124E-4</v>
      </c>
      <c r="N43">
        <f t="shared" si="4"/>
        <v>-8.9792135093088934E-3</v>
      </c>
      <c r="O43">
        <f t="shared" si="4"/>
        <v>-8.4451637288906825E-2</v>
      </c>
      <c r="P43" s="59">
        <f>$I$42*O43+P42</f>
        <v>0.77131639684798503</v>
      </c>
      <c r="Q43" s="2">
        <f>P43/E2</f>
        <v>6.0733574554959446</v>
      </c>
      <c r="R43" t="s">
        <v>62</v>
      </c>
    </row>
    <row r="44" spans="1:18" x14ac:dyDescent="0.35">
      <c r="A44">
        <v>42</v>
      </c>
      <c r="B44">
        <v>6.3339999999999996</v>
      </c>
      <c r="C44">
        <v>1.94808</v>
      </c>
    </row>
    <row r="45" spans="1:18" x14ac:dyDescent="0.35">
      <c r="A45">
        <v>43</v>
      </c>
      <c r="B45">
        <v>6.4610000000000003</v>
      </c>
      <c r="C45">
        <v>0.92562</v>
      </c>
    </row>
    <row r="46" spans="1:18" x14ac:dyDescent="0.35">
      <c r="A46">
        <v>44</v>
      </c>
      <c r="B46">
        <v>6.5880000000000001</v>
      </c>
      <c r="C46">
        <v>-0.16930000000000001</v>
      </c>
    </row>
    <row r="47" spans="1:18" x14ac:dyDescent="0.35">
      <c r="A47">
        <v>45</v>
      </c>
      <c r="B47">
        <v>6.7149999999999999</v>
      </c>
      <c r="C47">
        <v>-1.2657700000000001</v>
      </c>
    </row>
    <row r="48" spans="1:18" x14ac:dyDescent="0.35">
      <c r="A48">
        <v>46</v>
      </c>
      <c r="B48">
        <v>6.8419999999999996</v>
      </c>
      <c r="C48">
        <v>-2.2920099999999999</v>
      </c>
    </row>
    <row r="49" spans="1:3" x14ac:dyDescent="0.35">
      <c r="A49">
        <v>47</v>
      </c>
      <c r="B49">
        <v>6.9690000000000003</v>
      </c>
      <c r="C49">
        <v>-3.1801599999999999</v>
      </c>
    </row>
    <row r="50" spans="1:3" x14ac:dyDescent="0.35">
      <c r="A50">
        <v>48</v>
      </c>
      <c r="B50">
        <v>7.0960000000000001</v>
      </c>
      <c r="C50">
        <v>-3.8708100000000001</v>
      </c>
    </row>
    <row r="51" spans="1:3" x14ac:dyDescent="0.35">
      <c r="A51">
        <v>49</v>
      </c>
      <c r="B51">
        <v>7.2229999999999999</v>
      </c>
      <c r="C51">
        <v>-4.3170400000000004</v>
      </c>
    </row>
    <row r="52" spans="1:3" x14ac:dyDescent="0.35">
      <c r="A52">
        <v>50</v>
      </c>
      <c r="B52">
        <v>7.35</v>
      </c>
      <c r="C52">
        <v>-4.4876199999999997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859D-9A46-4909-BAB6-5117B8516CEA}">
  <dimension ref="B1:P202"/>
  <sheetViews>
    <sheetView topLeftCell="A39" workbookViewId="0">
      <selection activeCell="M10" sqref="M10"/>
    </sheetView>
  </sheetViews>
  <sheetFormatPr defaultRowHeight="14.5" x14ac:dyDescent="0.35"/>
  <cols>
    <col min="5" max="5" width="8.7265625" style="40"/>
    <col min="10" max="10" width="23.453125" customWidth="1"/>
  </cols>
  <sheetData>
    <row r="1" spans="2:16" ht="15" thickBot="1" x14ac:dyDescent="0.4">
      <c r="B1" t="s">
        <v>30</v>
      </c>
      <c r="C1">
        <v>0.11799999999999999</v>
      </c>
      <c r="D1" t="s">
        <v>29</v>
      </c>
      <c r="E1" s="40" t="s">
        <v>29</v>
      </c>
      <c r="F1">
        <v>3</v>
      </c>
    </row>
    <row r="2" spans="2:16" x14ac:dyDescent="0.35">
      <c r="B2">
        <v>0</v>
      </c>
      <c r="C2">
        <v>1</v>
      </c>
      <c r="D2" s="1">
        <f t="shared" ref="D2:D65" si="0">ROUND(POWER(C2,1/4)+2*SIN(C2)-3*COS(C2),4)</f>
        <v>1.0620000000000001</v>
      </c>
      <c r="E2" s="43"/>
      <c r="F2" t="str">
        <f>IF((D2-$F$1)*(D3-$F$1)&lt;0,1," ")</f>
        <v xml:space="preserve"> </v>
      </c>
      <c r="J2" t="s">
        <v>46</v>
      </c>
      <c r="L2" t="s">
        <v>47</v>
      </c>
    </row>
    <row r="3" spans="2:16" x14ac:dyDescent="0.35">
      <c r="B3">
        <v>1</v>
      </c>
      <c r="C3">
        <f>B3+$C$1</f>
        <v>1.1179999999999999</v>
      </c>
      <c r="D3" s="1">
        <f t="shared" si="0"/>
        <v>1.5143</v>
      </c>
      <c r="E3" s="44">
        <f>IF(D3-D2&gt;0,1,-1)</f>
        <v>1</v>
      </c>
      <c r="F3" t="str">
        <f t="shared" ref="F3:F66" si="1">IF((D3-$F$1)*(D4-$F$1)&lt;0,1," ")</f>
        <v xml:space="preserve"> </v>
      </c>
    </row>
    <row r="4" spans="2:16" x14ac:dyDescent="0.35">
      <c r="B4">
        <v>2</v>
      </c>
      <c r="C4">
        <f t="shared" ref="C4:C67" si="2">C3+$C$1</f>
        <v>1.2359999999999998</v>
      </c>
      <c r="D4" s="1">
        <f t="shared" si="0"/>
        <v>1.9576</v>
      </c>
      <c r="E4" s="44">
        <f t="shared" ref="E4:E67" si="3">IF(D4-D3&gt;0,1,-1)</f>
        <v>1</v>
      </c>
      <c r="F4" t="str">
        <f t="shared" si="1"/>
        <v xml:space="preserve"> </v>
      </c>
    </row>
    <row r="5" spans="2:16" x14ac:dyDescent="0.35">
      <c r="B5">
        <v>3</v>
      </c>
      <c r="C5">
        <f t="shared" si="2"/>
        <v>1.3539999999999996</v>
      </c>
      <c r="D5" s="1">
        <f t="shared" si="0"/>
        <v>2.3866000000000001</v>
      </c>
      <c r="E5" s="44">
        <f t="shared" si="3"/>
        <v>1</v>
      </c>
      <c r="F5" t="str">
        <f t="shared" si="1"/>
        <v xml:space="preserve"> 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</row>
    <row r="6" spans="2:16" x14ac:dyDescent="0.35">
      <c r="B6">
        <v>4</v>
      </c>
      <c r="C6">
        <f>C5+$C$1</f>
        <v>1.4719999999999995</v>
      </c>
      <c r="D6" s="1">
        <f t="shared" si="0"/>
        <v>2.7957999999999998</v>
      </c>
      <c r="E6" s="44">
        <f t="shared" si="3"/>
        <v>1</v>
      </c>
      <c r="F6">
        <f t="shared" si="1"/>
        <v>1</v>
      </c>
      <c r="J6">
        <v>1.9576</v>
      </c>
      <c r="K6">
        <v>1.2359999999999998</v>
      </c>
    </row>
    <row r="7" spans="2:16" x14ac:dyDescent="0.35">
      <c r="B7">
        <v>5</v>
      </c>
      <c r="C7">
        <f t="shared" si="2"/>
        <v>1.5899999999999994</v>
      </c>
      <c r="D7" s="1">
        <f t="shared" si="0"/>
        <v>3.1802000000000001</v>
      </c>
      <c r="E7" s="44">
        <f t="shared" si="3"/>
        <v>1</v>
      </c>
      <c r="F7" t="str">
        <f t="shared" si="1"/>
        <v xml:space="preserve"> </v>
      </c>
      <c r="J7">
        <v>2.3866000000000001</v>
      </c>
      <c r="K7">
        <v>1.3539999999999996</v>
      </c>
      <c r="L7">
        <f>(K7-K6)/(J7-J6)</f>
        <v>0.27505827505827474</v>
      </c>
    </row>
    <row r="8" spans="2:16" x14ac:dyDescent="0.35">
      <c r="B8">
        <v>6</v>
      </c>
      <c r="C8">
        <f t="shared" si="2"/>
        <v>1.7079999999999993</v>
      </c>
      <c r="D8" s="1">
        <f t="shared" si="0"/>
        <v>3.5347</v>
      </c>
      <c r="E8" s="44">
        <f t="shared" si="3"/>
        <v>1</v>
      </c>
      <c r="F8" t="str">
        <f t="shared" si="1"/>
        <v xml:space="preserve"> </v>
      </c>
      <c r="J8">
        <v>2.7957999999999998</v>
      </c>
      <c r="K8">
        <v>1.4719999999999995</v>
      </c>
      <c r="L8">
        <f>(K8-K7)/(J8-J7)</f>
        <v>0.28836754643206242</v>
      </c>
      <c r="M8">
        <f>(K8-K7)/(J8-J6)</f>
        <v>0.14077785731329026</v>
      </c>
    </row>
    <row r="9" spans="2:16" x14ac:dyDescent="0.35">
      <c r="B9">
        <v>7</v>
      </c>
      <c r="C9">
        <f t="shared" si="2"/>
        <v>1.8259999999999992</v>
      </c>
      <c r="D9" s="1">
        <f t="shared" si="0"/>
        <v>3.855</v>
      </c>
      <c r="E9" s="44">
        <f t="shared" si="3"/>
        <v>1</v>
      </c>
      <c r="F9" t="str">
        <f t="shared" si="1"/>
        <v xml:space="preserve"> </v>
      </c>
      <c r="J9">
        <v>3.1802000000000001</v>
      </c>
      <c r="K9">
        <v>1.5899999999999994</v>
      </c>
      <c r="L9">
        <f>(K9-K8)/(J9-J8)</f>
        <v>0.30697190426638865</v>
      </c>
      <c r="M9">
        <f>(L9-L8)/(J9-J6)</f>
        <v>1.5217043869071023E-2</v>
      </c>
    </row>
    <row r="10" spans="2:16" x14ac:dyDescent="0.35">
      <c r="B10">
        <v>8</v>
      </c>
      <c r="C10">
        <f t="shared" si="2"/>
        <v>1.9439999999999991</v>
      </c>
      <c r="D10" s="1">
        <f t="shared" si="0"/>
        <v>4.1368999999999998</v>
      </c>
      <c r="E10" s="44">
        <f t="shared" si="3"/>
        <v>1</v>
      </c>
      <c r="F10" t="str">
        <f t="shared" si="1"/>
        <v xml:space="preserve"> </v>
      </c>
      <c r="J10">
        <v>3.5347</v>
      </c>
      <c r="K10">
        <v>1.7079999999999993</v>
      </c>
      <c r="L10">
        <f>(K10-K9)/(J10-J9)</f>
        <v>0.33286318758815214</v>
      </c>
    </row>
    <row r="11" spans="2:16" x14ac:dyDescent="0.35">
      <c r="B11">
        <v>9</v>
      </c>
      <c r="C11">
        <f t="shared" si="2"/>
        <v>2.0619999999999989</v>
      </c>
      <c r="D11" s="1">
        <f t="shared" si="0"/>
        <v>4.3769</v>
      </c>
      <c r="E11" s="44">
        <f t="shared" si="3"/>
        <v>1</v>
      </c>
      <c r="F11" t="str">
        <f t="shared" si="1"/>
        <v xml:space="preserve"> </v>
      </c>
      <c r="J11">
        <v>3.855</v>
      </c>
      <c r="K11">
        <v>1.8259999999999992</v>
      </c>
      <c r="L11">
        <f>(K11-K10)/(J11-J10)</f>
        <v>0.36840462066812324</v>
      </c>
    </row>
    <row r="12" spans="2:16" x14ac:dyDescent="0.35">
      <c r="B12">
        <v>10</v>
      </c>
      <c r="C12">
        <f t="shared" si="2"/>
        <v>2.1799999999999988</v>
      </c>
      <c r="D12" s="1">
        <f t="shared" si="0"/>
        <v>4.5720000000000001</v>
      </c>
      <c r="E12" s="44">
        <f t="shared" si="3"/>
        <v>1</v>
      </c>
      <c r="F12" t="str">
        <f t="shared" si="1"/>
        <v xml:space="preserve"> </v>
      </c>
    </row>
    <row r="13" spans="2:16" x14ac:dyDescent="0.35">
      <c r="B13">
        <v>11</v>
      </c>
      <c r="C13">
        <f t="shared" si="2"/>
        <v>2.2979999999999987</v>
      </c>
      <c r="D13" s="1">
        <f t="shared" si="0"/>
        <v>4.7195999999999998</v>
      </c>
      <c r="E13" s="44">
        <f t="shared" si="3"/>
        <v>1</v>
      </c>
      <c r="F13" t="str">
        <f t="shared" si="1"/>
        <v xml:space="preserve"> </v>
      </c>
    </row>
    <row r="14" spans="2:16" ht="15" thickBot="1" x14ac:dyDescent="0.4">
      <c r="B14">
        <v>12</v>
      </c>
      <c r="C14">
        <f t="shared" si="2"/>
        <v>2.4159999999999986</v>
      </c>
      <c r="D14" s="1">
        <f t="shared" si="0"/>
        <v>4.8182</v>
      </c>
      <c r="E14" s="44">
        <f t="shared" si="3"/>
        <v>1</v>
      </c>
      <c r="F14" t="str">
        <f t="shared" si="1"/>
        <v xml:space="preserve"> </v>
      </c>
    </row>
    <row r="15" spans="2:16" ht="15" thickBot="1" x14ac:dyDescent="0.4">
      <c r="B15">
        <v>13</v>
      </c>
      <c r="C15">
        <f t="shared" si="2"/>
        <v>2.5339999999999985</v>
      </c>
      <c r="D15" s="1">
        <f t="shared" si="0"/>
        <v>4.8665000000000003</v>
      </c>
      <c r="E15" s="46">
        <f t="shared" si="3"/>
        <v>1</v>
      </c>
      <c r="F15" t="str">
        <f t="shared" si="1"/>
        <v xml:space="preserve"> </v>
      </c>
    </row>
    <row r="16" spans="2:16" x14ac:dyDescent="0.35">
      <c r="B16">
        <v>14</v>
      </c>
      <c r="C16">
        <f t="shared" si="2"/>
        <v>2.6519999999999984</v>
      </c>
      <c r="D16" s="1">
        <f t="shared" si="0"/>
        <v>4.8642000000000003</v>
      </c>
      <c r="E16" s="44">
        <f t="shared" si="3"/>
        <v>-1</v>
      </c>
      <c r="F16" t="str">
        <f t="shared" si="1"/>
        <v xml:space="preserve"> </v>
      </c>
    </row>
    <row r="17" spans="2:11" x14ac:dyDescent="0.35">
      <c r="B17">
        <v>15</v>
      </c>
      <c r="C17">
        <f t="shared" si="2"/>
        <v>2.7699999999999982</v>
      </c>
      <c r="D17" s="1">
        <f t="shared" si="0"/>
        <v>4.8114999999999997</v>
      </c>
      <c r="E17" s="44">
        <f t="shared" si="3"/>
        <v>-1</v>
      </c>
      <c r="F17" t="str">
        <f t="shared" si="1"/>
        <v xml:space="preserve"> </v>
      </c>
    </row>
    <row r="18" spans="2:11" x14ac:dyDescent="0.35">
      <c r="B18">
        <v>16</v>
      </c>
      <c r="C18">
        <f t="shared" si="2"/>
        <v>2.8879999999999981</v>
      </c>
      <c r="D18" s="1">
        <f t="shared" si="0"/>
        <v>4.7093999999999996</v>
      </c>
      <c r="E18" s="44">
        <f t="shared" si="3"/>
        <v>-1</v>
      </c>
      <c r="F18" t="str">
        <f t="shared" si="1"/>
        <v xml:space="preserve"> </v>
      </c>
    </row>
    <row r="19" spans="2:11" x14ac:dyDescent="0.35">
      <c r="B19">
        <v>17</v>
      </c>
      <c r="C19">
        <f t="shared" si="2"/>
        <v>3.005999999999998</v>
      </c>
      <c r="D19" s="1">
        <f t="shared" si="0"/>
        <v>4.5595999999999997</v>
      </c>
      <c r="E19" s="44">
        <f t="shared" si="3"/>
        <v>-1</v>
      </c>
      <c r="F19" t="str">
        <f t="shared" si="1"/>
        <v xml:space="preserve"> </v>
      </c>
    </row>
    <row r="20" spans="2:11" x14ac:dyDescent="0.35">
      <c r="B20">
        <v>18</v>
      </c>
      <c r="C20">
        <f t="shared" si="2"/>
        <v>3.1239999999999979</v>
      </c>
      <c r="D20" s="1">
        <f t="shared" si="0"/>
        <v>4.3642000000000003</v>
      </c>
      <c r="E20" s="44">
        <f t="shared" si="3"/>
        <v>-1</v>
      </c>
      <c r="F20" t="str">
        <f t="shared" si="1"/>
        <v xml:space="preserve"> </v>
      </c>
    </row>
    <row r="21" spans="2:11" x14ac:dyDescent="0.35">
      <c r="B21">
        <v>19</v>
      </c>
      <c r="C21">
        <f t="shared" si="2"/>
        <v>3.2419999999999978</v>
      </c>
      <c r="D21" s="1">
        <f t="shared" si="0"/>
        <v>4.1262999999999996</v>
      </c>
      <c r="E21" s="44">
        <f t="shared" si="3"/>
        <v>-1</v>
      </c>
      <c r="F21" t="str">
        <f t="shared" si="1"/>
        <v xml:space="preserve"> </v>
      </c>
    </row>
    <row r="22" spans="2:11" x14ac:dyDescent="0.35">
      <c r="B22">
        <v>20</v>
      </c>
      <c r="C22">
        <f t="shared" si="2"/>
        <v>3.3599999999999977</v>
      </c>
      <c r="D22" s="1">
        <f t="shared" si="0"/>
        <v>3.8492999999999999</v>
      </c>
      <c r="E22" s="44">
        <f t="shared" si="3"/>
        <v>-1</v>
      </c>
      <c r="F22" t="str">
        <f t="shared" si="1"/>
        <v xml:space="preserve"> </v>
      </c>
    </row>
    <row r="23" spans="2:11" x14ac:dyDescent="0.35">
      <c r="B23">
        <v>21</v>
      </c>
      <c r="C23">
        <f t="shared" si="2"/>
        <v>3.4779999999999975</v>
      </c>
      <c r="D23" s="1">
        <f t="shared" si="0"/>
        <v>3.5373000000000001</v>
      </c>
      <c r="E23" s="44">
        <f t="shared" si="3"/>
        <v>-1</v>
      </c>
      <c r="F23" t="str">
        <f t="shared" si="1"/>
        <v xml:space="preserve"> </v>
      </c>
      <c r="J23" t="s">
        <v>48</v>
      </c>
    </row>
    <row r="24" spans="2:11" x14ac:dyDescent="0.35">
      <c r="B24">
        <v>22</v>
      </c>
      <c r="C24">
        <f t="shared" si="2"/>
        <v>3.5959999999999974</v>
      </c>
      <c r="D24" s="1">
        <f t="shared" si="0"/>
        <v>3.1947999999999999</v>
      </c>
      <c r="E24" s="44">
        <f t="shared" si="3"/>
        <v>-1</v>
      </c>
      <c r="F24">
        <f t="shared" si="1"/>
        <v>1</v>
      </c>
      <c r="J24" cm="1">
        <f t="array" ref="J24:J29">C24:C29</f>
        <v>3.5959999999999974</v>
      </c>
      <c r="K24" s="1" cm="1">
        <f t="array" ref="K24:K29">D24:D29</f>
        <v>3.1947999999999999</v>
      </c>
    </row>
    <row r="25" spans="2:11" x14ac:dyDescent="0.35">
      <c r="B25">
        <v>23</v>
      </c>
      <c r="C25">
        <f t="shared" si="2"/>
        <v>3.7139999999999973</v>
      </c>
      <c r="D25" s="1">
        <f t="shared" si="0"/>
        <v>2.8267000000000002</v>
      </c>
      <c r="E25" s="44">
        <f t="shared" si="3"/>
        <v>-1</v>
      </c>
      <c r="F25" t="str">
        <f t="shared" si="1"/>
        <v xml:space="preserve"> </v>
      </c>
      <c r="J25">
        <v>3.7139999999999973</v>
      </c>
      <c r="K25">
        <v>2.8267000000000002</v>
      </c>
    </row>
    <row r="26" spans="2:11" x14ac:dyDescent="0.35">
      <c r="B26">
        <v>24</v>
      </c>
      <c r="C26">
        <f t="shared" si="2"/>
        <v>3.8319999999999972</v>
      </c>
      <c r="D26" s="1">
        <f t="shared" si="0"/>
        <v>2.4384000000000001</v>
      </c>
      <c r="E26" s="44">
        <f t="shared" si="3"/>
        <v>-1</v>
      </c>
      <c r="F26" t="str">
        <f t="shared" si="1"/>
        <v xml:space="preserve"> </v>
      </c>
      <c r="J26">
        <v>3.8319999999999972</v>
      </c>
      <c r="K26">
        <v>2.4384000000000001</v>
      </c>
    </row>
    <row r="27" spans="2:11" x14ac:dyDescent="0.35">
      <c r="B27">
        <v>25</v>
      </c>
      <c r="C27">
        <f t="shared" si="2"/>
        <v>3.9499999999999971</v>
      </c>
      <c r="D27" s="1">
        <f t="shared" si="0"/>
        <v>2.0354000000000001</v>
      </c>
      <c r="E27" s="44">
        <f t="shared" si="3"/>
        <v>-1</v>
      </c>
      <c r="F27" t="str">
        <f t="shared" si="1"/>
        <v xml:space="preserve"> </v>
      </c>
      <c r="J27">
        <v>3.9499999999999971</v>
      </c>
      <c r="K27">
        <v>2.0354000000000001</v>
      </c>
    </row>
    <row r="28" spans="2:11" x14ac:dyDescent="0.35">
      <c r="B28">
        <v>26</v>
      </c>
      <c r="C28">
        <f t="shared" si="2"/>
        <v>4.067999999999997</v>
      </c>
      <c r="D28" s="1">
        <f t="shared" si="0"/>
        <v>1.6234</v>
      </c>
      <c r="E28" s="44">
        <f t="shared" si="3"/>
        <v>-1</v>
      </c>
      <c r="F28" t="str">
        <f t="shared" si="1"/>
        <v xml:space="preserve"> </v>
      </c>
      <c r="J28">
        <v>4.067999999999997</v>
      </c>
      <c r="K28">
        <v>1.6234</v>
      </c>
    </row>
    <row r="29" spans="2:11" x14ac:dyDescent="0.35">
      <c r="B29">
        <v>27</v>
      </c>
      <c r="C29">
        <f t="shared" si="2"/>
        <v>4.1859999999999973</v>
      </c>
      <c r="D29" s="1">
        <f t="shared" si="0"/>
        <v>1.2083999999999999</v>
      </c>
      <c r="E29" s="44">
        <f t="shared" si="3"/>
        <v>-1</v>
      </c>
      <c r="F29" t="str">
        <f t="shared" si="1"/>
        <v xml:space="preserve"> </v>
      </c>
      <c r="J29">
        <v>4.1859999999999973</v>
      </c>
      <c r="K29">
        <v>1.2083999999999999</v>
      </c>
    </row>
    <row r="30" spans="2:11" x14ac:dyDescent="0.35">
      <c r="B30">
        <v>28</v>
      </c>
      <c r="C30">
        <f t="shared" si="2"/>
        <v>4.3039999999999976</v>
      </c>
      <c r="D30" s="1">
        <f t="shared" si="0"/>
        <v>0.79620000000000002</v>
      </c>
      <c r="E30" s="44">
        <f t="shared" si="3"/>
        <v>-1</v>
      </c>
      <c r="F30" t="str">
        <f t="shared" si="1"/>
        <v xml:space="preserve"> </v>
      </c>
    </row>
    <row r="31" spans="2:11" x14ac:dyDescent="0.35">
      <c r="B31">
        <v>29</v>
      </c>
      <c r="C31">
        <f t="shared" si="2"/>
        <v>4.4219999999999979</v>
      </c>
      <c r="D31" s="1">
        <f t="shared" si="0"/>
        <v>0.39279999999999998</v>
      </c>
      <c r="E31" s="44">
        <f t="shared" si="3"/>
        <v>-1</v>
      </c>
      <c r="F31" t="str">
        <f t="shared" si="1"/>
        <v xml:space="preserve"> </v>
      </c>
    </row>
    <row r="32" spans="2:11" x14ac:dyDescent="0.35">
      <c r="B32">
        <v>30</v>
      </c>
      <c r="C32">
        <f t="shared" si="2"/>
        <v>4.5399999999999983</v>
      </c>
      <c r="D32" s="1">
        <f t="shared" si="0"/>
        <v>4.0000000000000001E-3</v>
      </c>
      <c r="E32" s="44">
        <f t="shared" si="3"/>
        <v>-1</v>
      </c>
      <c r="F32" t="str">
        <f t="shared" si="1"/>
        <v xml:space="preserve"> </v>
      </c>
    </row>
    <row r="33" spans="2:10" x14ac:dyDescent="0.35">
      <c r="B33">
        <v>31</v>
      </c>
      <c r="C33">
        <f t="shared" si="2"/>
        <v>4.6579999999999986</v>
      </c>
      <c r="D33" s="1">
        <f t="shared" si="0"/>
        <v>-0.3649</v>
      </c>
      <c r="E33" s="44">
        <f t="shared" si="3"/>
        <v>-1</v>
      </c>
      <c r="F33" t="str">
        <f t="shared" si="1"/>
        <v xml:space="preserve"> </v>
      </c>
    </row>
    <row r="34" spans="2:10" x14ac:dyDescent="0.35">
      <c r="B34">
        <v>32</v>
      </c>
      <c r="C34">
        <f t="shared" si="2"/>
        <v>4.7759999999999989</v>
      </c>
      <c r="D34" s="1">
        <f t="shared" si="0"/>
        <v>-0.70830000000000004</v>
      </c>
      <c r="E34" s="44">
        <f t="shared" si="3"/>
        <v>-1</v>
      </c>
      <c r="F34" t="str">
        <f t="shared" si="1"/>
        <v xml:space="preserve"> </v>
      </c>
    </row>
    <row r="35" spans="2:10" x14ac:dyDescent="0.35">
      <c r="B35">
        <v>33</v>
      </c>
      <c r="C35">
        <f t="shared" si="2"/>
        <v>4.8939999999999992</v>
      </c>
      <c r="D35" s="1">
        <f t="shared" si="0"/>
        <v>-1.0216000000000001</v>
      </c>
      <c r="E35" s="44">
        <f t="shared" si="3"/>
        <v>-1</v>
      </c>
      <c r="F35" t="str">
        <f t="shared" si="1"/>
        <v xml:space="preserve"> </v>
      </c>
    </row>
    <row r="36" spans="2:10" x14ac:dyDescent="0.35">
      <c r="B36">
        <v>34</v>
      </c>
      <c r="C36">
        <f t="shared" si="2"/>
        <v>5.0119999999999996</v>
      </c>
      <c r="D36" s="1">
        <f t="shared" si="0"/>
        <v>-1.3001</v>
      </c>
      <c r="E36" s="44">
        <f t="shared" si="3"/>
        <v>-1</v>
      </c>
      <c r="F36" t="str">
        <f t="shared" si="1"/>
        <v xml:space="preserve"> </v>
      </c>
    </row>
    <row r="37" spans="2:10" x14ac:dyDescent="0.35">
      <c r="B37">
        <v>35</v>
      </c>
      <c r="C37">
        <f t="shared" si="2"/>
        <v>5.13</v>
      </c>
      <c r="D37" s="1">
        <f t="shared" si="0"/>
        <v>-1.5399</v>
      </c>
      <c r="E37" s="44">
        <f t="shared" si="3"/>
        <v>-1</v>
      </c>
      <c r="F37" t="str">
        <f t="shared" si="1"/>
        <v xml:space="preserve"> </v>
      </c>
    </row>
    <row r="38" spans="2:10" x14ac:dyDescent="0.35">
      <c r="B38">
        <v>36</v>
      </c>
      <c r="C38">
        <f t="shared" si="2"/>
        <v>5.2480000000000002</v>
      </c>
      <c r="D38" s="1">
        <f t="shared" si="0"/>
        <v>-1.7375</v>
      </c>
      <c r="E38" s="44">
        <f t="shared" si="3"/>
        <v>-1</v>
      </c>
      <c r="F38" t="str">
        <f t="shared" si="1"/>
        <v xml:space="preserve"> </v>
      </c>
    </row>
    <row r="39" spans="2:10" x14ac:dyDescent="0.35">
      <c r="B39">
        <v>37</v>
      </c>
      <c r="C39">
        <f t="shared" si="2"/>
        <v>5.3660000000000005</v>
      </c>
      <c r="D39" s="1">
        <f t="shared" si="0"/>
        <v>-1.89</v>
      </c>
      <c r="E39" s="44">
        <f t="shared" si="3"/>
        <v>-1</v>
      </c>
      <c r="F39" t="str">
        <f t="shared" si="1"/>
        <v xml:space="preserve"> </v>
      </c>
    </row>
    <row r="40" spans="2:10" x14ac:dyDescent="0.35">
      <c r="B40">
        <v>38</v>
      </c>
      <c r="C40">
        <f t="shared" si="2"/>
        <v>5.4840000000000009</v>
      </c>
      <c r="D40" s="1">
        <f t="shared" si="0"/>
        <v>-1.9952000000000001</v>
      </c>
      <c r="E40" s="44">
        <f t="shared" si="3"/>
        <v>-1</v>
      </c>
      <c r="F40" t="str">
        <f t="shared" si="1"/>
        <v xml:space="preserve"> </v>
      </c>
    </row>
    <row r="41" spans="2:10" ht="15" thickBot="1" x14ac:dyDescent="0.4">
      <c r="B41">
        <v>39</v>
      </c>
      <c r="C41">
        <f t="shared" si="2"/>
        <v>5.6020000000000012</v>
      </c>
      <c r="D41" s="1">
        <f t="shared" si="0"/>
        <v>-2.0514999999999999</v>
      </c>
      <c r="E41" s="44">
        <f t="shared" si="3"/>
        <v>-1</v>
      </c>
      <c r="F41" t="str">
        <f t="shared" si="1"/>
        <v xml:space="preserve"> </v>
      </c>
    </row>
    <row r="42" spans="2:10" ht="15" thickBot="1" x14ac:dyDescent="0.4">
      <c r="B42">
        <v>40</v>
      </c>
      <c r="C42">
        <f t="shared" si="2"/>
        <v>5.7200000000000015</v>
      </c>
      <c r="D42" s="1">
        <f t="shared" si="0"/>
        <v>-2.0579000000000001</v>
      </c>
      <c r="E42" s="46">
        <f t="shared" si="3"/>
        <v>-1</v>
      </c>
      <c r="F42" t="str">
        <f t="shared" si="1"/>
        <v xml:space="preserve"> </v>
      </c>
    </row>
    <row r="43" spans="2:10" x14ac:dyDescent="0.35">
      <c r="B43">
        <v>41</v>
      </c>
      <c r="C43">
        <f t="shared" si="2"/>
        <v>5.8380000000000019</v>
      </c>
      <c r="D43" s="1">
        <f t="shared" si="0"/>
        <v>-2.0144000000000002</v>
      </c>
      <c r="E43" s="44">
        <f t="shared" si="3"/>
        <v>1</v>
      </c>
      <c r="F43" t="str">
        <f t="shared" si="1"/>
        <v xml:space="preserve"> </v>
      </c>
    </row>
    <row r="44" spans="2:10" x14ac:dyDescent="0.35">
      <c r="B44">
        <v>42</v>
      </c>
      <c r="C44">
        <f t="shared" si="2"/>
        <v>5.9560000000000022</v>
      </c>
      <c r="D44" s="1">
        <f t="shared" si="0"/>
        <v>-1.9214</v>
      </c>
      <c r="E44" s="44">
        <f t="shared" si="3"/>
        <v>1</v>
      </c>
      <c r="F44" t="str">
        <f t="shared" si="1"/>
        <v xml:space="preserve"> </v>
      </c>
    </row>
    <row r="45" spans="2:10" x14ac:dyDescent="0.35">
      <c r="B45">
        <v>43</v>
      </c>
      <c r="C45">
        <f t="shared" si="2"/>
        <v>6.0740000000000025</v>
      </c>
      <c r="D45" s="1">
        <f t="shared" si="0"/>
        <v>-1.78</v>
      </c>
      <c r="E45" s="44">
        <f t="shared" si="3"/>
        <v>1</v>
      </c>
      <c r="F45" t="str">
        <f t="shared" si="1"/>
        <v xml:space="preserve"> </v>
      </c>
    </row>
    <row r="46" spans="2:10" x14ac:dyDescent="0.35">
      <c r="B46">
        <v>44</v>
      </c>
      <c r="C46">
        <f t="shared" si="2"/>
        <v>6.1920000000000028</v>
      </c>
      <c r="D46" s="1">
        <f t="shared" si="0"/>
        <v>-1.5922000000000001</v>
      </c>
      <c r="E46" s="44">
        <f t="shared" si="3"/>
        <v>1</v>
      </c>
      <c r="F46" t="str">
        <f t="shared" si="1"/>
        <v xml:space="preserve"> </v>
      </c>
      <c r="J46" t="s">
        <v>49</v>
      </c>
    </row>
    <row r="47" spans="2:10" x14ac:dyDescent="0.35">
      <c r="B47">
        <v>45</v>
      </c>
      <c r="C47">
        <f t="shared" si="2"/>
        <v>6.3100000000000032</v>
      </c>
      <c r="D47" s="1">
        <f t="shared" si="0"/>
        <v>-1.3604000000000001</v>
      </c>
      <c r="E47" s="44">
        <f t="shared" si="3"/>
        <v>1</v>
      </c>
      <c r="F47" t="str">
        <f t="shared" si="1"/>
        <v xml:space="preserve"> </v>
      </c>
    </row>
    <row r="48" spans="2:10" x14ac:dyDescent="0.35">
      <c r="B48">
        <v>46</v>
      </c>
      <c r="C48">
        <f t="shared" si="2"/>
        <v>6.4280000000000035</v>
      </c>
      <c r="D48" s="1">
        <f t="shared" si="0"/>
        <v>-1.0876999999999999</v>
      </c>
      <c r="E48" s="44">
        <f t="shared" si="3"/>
        <v>1</v>
      </c>
      <c r="F48" t="str">
        <f t="shared" si="1"/>
        <v xml:space="preserve"> </v>
      </c>
    </row>
    <row r="49" spans="2:6" x14ac:dyDescent="0.35">
      <c r="B49">
        <v>47</v>
      </c>
      <c r="C49">
        <f t="shared" si="2"/>
        <v>6.5460000000000038</v>
      </c>
      <c r="D49" s="1">
        <f t="shared" si="0"/>
        <v>-0.77790000000000004</v>
      </c>
      <c r="E49" s="44">
        <f t="shared" si="3"/>
        <v>1</v>
      </c>
      <c r="F49" t="str">
        <f t="shared" si="1"/>
        <v xml:space="preserve"> </v>
      </c>
    </row>
    <row r="50" spans="2:6" x14ac:dyDescent="0.35">
      <c r="B50">
        <v>48</v>
      </c>
      <c r="C50">
        <f t="shared" si="2"/>
        <v>6.6640000000000041</v>
      </c>
      <c r="D50" s="1">
        <f t="shared" si="0"/>
        <v>-0.435</v>
      </c>
      <c r="E50" s="44">
        <f t="shared" si="3"/>
        <v>1</v>
      </c>
      <c r="F50" t="str">
        <f t="shared" si="1"/>
        <v xml:space="preserve"> </v>
      </c>
    </row>
    <row r="51" spans="2:6" x14ac:dyDescent="0.35">
      <c r="B51">
        <v>49</v>
      </c>
      <c r="C51">
        <f t="shared" si="2"/>
        <v>6.7820000000000045</v>
      </c>
      <c r="D51" s="1">
        <f t="shared" si="0"/>
        <v>-6.3899999999999998E-2</v>
      </c>
      <c r="E51" s="44">
        <f t="shared" si="3"/>
        <v>1</v>
      </c>
      <c r="F51" t="str">
        <f t="shared" si="1"/>
        <v xml:space="preserve"> </v>
      </c>
    </row>
    <row r="52" spans="2:6" x14ac:dyDescent="0.35">
      <c r="B52">
        <v>50</v>
      </c>
      <c r="C52">
        <f t="shared" si="2"/>
        <v>6.9000000000000048</v>
      </c>
      <c r="D52" s="1">
        <f t="shared" si="0"/>
        <v>0.33040000000000003</v>
      </c>
      <c r="E52" s="44">
        <f t="shared" si="3"/>
        <v>1</v>
      </c>
      <c r="F52" t="str">
        <f t="shared" si="1"/>
        <v xml:space="preserve"> </v>
      </c>
    </row>
    <row r="53" spans="2:6" x14ac:dyDescent="0.35">
      <c r="B53">
        <v>51</v>
      </c>
      <c r="C53">
        <f t="shared" si="2"/>
        <v>7.0180000000000051</v>
      </c>
      <c r="D53" s="1">
        <f t="shared" si="0"/>
        <v>0.74270000000000003</v>
      </c>
      <c r="E53" s="44">
        <f t="shared" si="3"/>
        <v>1</v>
      </c>
      <c r="F53" t="str">
        <f t="shared" si="1"/>
        <v xml:space="preserve"> </v>
      </c>
    </row>
    <row r="54" spans="2:6" x14ac:dyDescent="0.35">
      <c r="B54">
        <v>52</v>
      </c>
      <c r="C54">
        <f t="shared" si="2"/>
        <v>7.1360000000000054</v>
      </c>
      <c r="D54" s="1">
        <f t="shared" si="0"/>
        <v>1.1671</v>
      </c>
      <c r="E54" s="44">
        <f t="shared" si="3"/>
        <v>1</v>
      </c>
      <c r="F54" t="str">
        <f t="shared" si="1"/>
        <v xml:space="preserve"> </v>
      </c>
    </row>
    <row r="55" spans="2:6" x14ac:dyDescent="0.35">
      <c r="B55">
        <v>53</v>
      </c>
      <c r="C55">
        <f t="shared" si="2"/>
        <v>7.2540000000000058</v>
      </c>
      <c r="D55" s="1">
        <f t="shared" si="0"/>
        <v>1.5979000000000001</v>
      </c>
      <c r="E55" s="44">
        <f t="shared" si="3"/>
        <v>1</v>
      </c>
      <c r="F55" t="str">
        <f t="shared" si="1"/>
        <v xml:space="preserve"> </v>
      </c>
    </row>
    <row r="56" spans="2:6" x14ac:dyDescent="0.35">
      <c r="B56">
        <v>54</v>
      </c>
      <c r="C56">
        <f t="shared" si="2"/>
        <v>7.3720000000000061</v>
      </c>
      <c r="D56" s="1">
        <f t="shared" si="0"/>
        <v>2.0293000000000001</v>
      </c>
      <c r="E56" s="44">
        <f t="shared" si="3"/>
        <v>1</v>
      </c>
      <c r="F56" t="str">
        <f t="shared" si="1"/>
        <v xml:space="preserve"> </v>
      </c>
    </row>
    <row r="57" spans="2:6" x14ac:dyDescent="0.35">
      <c r="B57">
        <v>55</v>
      </c>
      <c r="C57">
        <f t="shared" si="2"/>
        <v>7.4900000000000064</v>
      </c>
      <c r="D57" s="1">
        <f t="shared" si="0"/>
        <v>2.4552999999999998</v>
      </c>
      <c r="E57" s="44">
        <f t="shared" si="3"/>
        <v>1</v>
      </c>
      <c r="F57" t="str">
        <f t="shared" si="1"/>
        <v xml:space="preserve"> </v>
      </c>
    </row>
    <row r="58" spans="2:6" x14ac:dyDescent="0.35">
      <c r="B58">
        <v>56</v>
      </c>
      <c r="C58">
        <f t="shared" si="2"/>
        <v>7.6080000000000068</v>
      </c>
      <c r="D58" s="1">
        <f t="shared" si="0"/>
        <v>2.8700999999999999</v>
      </c>
      <c r="E58" s="44">
        <f t="shared" si="3"/>
        <v>1</v>
      </c>
      <c r="F58">
        <f t="shared" si="1"/>
        <v>1</v>
      </c>
    </row>
    <row r="59" spans="2:6" x14ac:dyDescent="0.35">
      <c r="B59">
        <v>57</v>
      </c>
      <c r="C59">
        <f t="shared" si="2"/>
        <v>7.7260000000000071</v>
      </c>
      <c r="D59" s="1">
        <f t="shared" si="0"/>
        <v>3.2679</v>
      </c>
      <c r="E59" s="44">
        <f t="shared" si="3"/>
        <v>1</v>
      </c>
      <c r="F59" t="str">
        <f t="shared" si="1"/>
        <v xml:space="preserve"> </v>
      </c>
    </row>
    <row r="60" spans="2:6" x14ac:dyDescent="0.35">
      <c r="B60">
        <v>58</v>
      </c>
      <c r="C60">
        <f t="shared" si="2"/>
        <v>7.8440000000000074</v>
      </c>
      <c r="D60" s="1">
        <f t="shared" si="0"/>
        <v>3.6435</v>
      </c>
      <c r="E60" s="44">
        <f t="shared" si="3"/>
        <v>1</v>
      </c>
      <c r="F60" t="str">
        <f t="shared" si="1"/>
        <v xml:space="preserve"> </v>
      </c>
    </row>
    <row r="61" spans="2:6" x14ac:dyDescent="0.35">
      <c r="B61">
        <v>59</v>
      </c>
      <c r="C61">
        <f t="shared" si="2"/>
        <v>7.9620000000000077</v>
      </c>
      <c r="D61" s="1">
        <f t="shared" si="0"/>
        <v>3.9916</v>
      </c>
      <c r="E61" s="44">
        <f t="shared" si="3"/>
        <v>1</v>
      </c>
      <c r="F61" t="str">
        <f t="shared" si="1"/>
        <v xml:space="preserve"> </v>
      </c>
    </row>
    <row r="62" spans="2:6" x14ac:dyDescent="0.35">
      <c r="B62">
        <v>60</v>
      </c>
      <c r="C62">
        <f t="shared" si="2"/>
        <v>8.0800000000000072</v>
      </c>
      <c r="D62" s="1">
        <f t="shared" si="0"/>
        <v>4.3074000000000003</v>
      </c>
      <c r="E62" s="44">
        <f t="shared" si="3"/>
        <v>1</v>
      </c>
      <c r="F62" t="str">
        <f t="shared" si="1"/>
        <v xml:space="preserve"> </v>
      </c>
    </row>
    <row r="63" spans="2:6" x14ac:dyDescent="0.35">
      <c r="B63">
        <v>61</v>
      </c>
      <c r="C63">
        <f t="shared" si="2"/>
        <v>8.1980000000000075</v>
      </c>
      <c r="D63" s="1">
        <f t="shared" si="0"/>
        <v>4.5867000000000004</v>
      </c>
      <c r="E63" s="44">
        <f t="shared" si="3"/>
        <v>1</v>
      </c>
      <c r="F63" t="str">
        <f t="shared" si="1"/>
        <v xml:space="preserve"> </v>
      </c>
    </row>
    <row r="64" spans="2:6" x14ac:dyDescent="0.35">
      <c r="B64">
        <v>62</v>
      </c>
      <c r="C64">
        <f t="shared" si="2"/>
        <v>8.3160000000000078</v>
      </c>
      <c r="D64" s="1">
        <f t="shared" si="0"/>
        <v>4.8257000000000003</v>
      </c>
      <c r="E64" s="44">
        <f t="shared" si="3"/>
        <v>1</v>
      </c>
      <c r="F64" t="str">
        <f t="shared" si="1"/>
        <v xml:space="preserve"> </v>
      </c>
    </row>
    <row r="65" spans="2:6" x14ac:dyDescent="0.35">
      <c r="B65">
        <v>63</v>
      </c>
      <c r="C65">
        <f t="shared" si="2"/>
        <v>8.4340000000000082</v>
      </c>
      <c r="D65" s="1">
        <f t="shared" si="0"/>
        <v>5.0212000000000003</v>
      </c>
      <c r="E65" s="44">
        <f t="shared" si="3"/>
        <v>1</v>
      </c>
      <c r="F65" t="str">
        <f t="shared" si="1"/>
        <v xml:space="preserve"> </v>
      </c>
    </row>
    <row r="66" spans="2:6" x14ac:dyDescent="0.35">
      <c r="B66">
        <v>64</v>
      </c>
      <c r="C66">
        <f t="shared" si="2"/>
        <v>8.5520000000000085</v>
      </c>
      <c r="D66" s="1">
        <f t="shared" ref="D66:D129" si="4">ROUND(POWER(C66,1/4)+2*SIN(C66)-3*COS(C66),4)</f>
        <v>5.1703999999999999</v>
      </c>
      <c r="E66" s="44">
        <f t="shared" si="3"/>
        <v>1</v>
      </c>
      <c r="F66" t="str">
        <f t="shared" si="1"/>
        <v xml:space="preserve"> </v>
      </c>
    </row>
    <row r="67" spans="2:6" x14ac:dyDescent="0.35">
      <c r="B67">
        <v>65</v>
      </c>
      <c r="C67">
        <f t="shared" si="2"/>
        <v>8.6700000000000088</v>
      </c>
      <c r="D67" s="1">
        <f t="shared" si="4"/>
        <v>5.2714999999999996</v>
      </c>
      <c r="E67" s="44">
        <f t="shared" si="3"/>
        <v>1</v>
      </c>
      <c r="F67" t="str">
        <f t="shared" ref="F67:F130" si="5">IF((D67-$F$1)*(D68-$F$1)&lt;0,1," ")</f>
        <v xml:space="preserve"> </v>
      </c>
    </row>
    <row r="68" spans="2:6" ht="15" thickBot="1" x14ac:dyDescent="0.4">
      <c r="B68">
        <v>66</v>
      </c>
      <c r="C68">
        <f t="shared" ref="C68:C131" si="6">C67+$C$1</f>
        <v>8.7880000000000091</v>
      </c>
      <c r="D68" s="1">
        <f t="shared" si="4"/>
        <v>5.3230000000000004</v>
      </c>
      <c r="E68" s="44">
        <f t="shared" ref="E68:E131" si="7">IF(D68-D67&gt;0,1,-1)</f>
        <v>1</v>
      </c>
      <c r="F68" t="str">
        <f t="shared" si="5"/>
        <v xml:space="preserve"> </v>
      </c>
    </row>
    <row r="69" spans="2:6" ht="15" thickBot="1" x14ac:dyDescent="0.4">
      <c r="B69">
        <v>67</v>
      </c>
      <c r="C69">
        <f t="shared" si="6"/>
        <v>8.9060000000000095</v>
      </c>
      <c r="D69" s="1">
        <f t="shared" si="4"/>
        <v>5.3243999999999998</v>
      </c>
      <c r="E69" s="46">
        <f t="shared" si="7"/>
        <v>1</v>
      </c>
      <c r="F69" t="str">
        <f t="shared" si="5"/>
        <v xml:space="preserve"> </v>
      </c>
    </row>
    <row r="70" spans="2:6" x14ac:dyDescent="0.35">
      <c r="B70">
        <v>68</v>
      </c>
      <c r="C70">
        <f t="shared" si="6"/>
        <v>9.0240000000000098</v>
      </c>
      <c r="D70" s="1">
        <f t="shared" si="4"/>
        <v>5.2756999999999996</v>
      </c>
      <c r="E70" s="44">
        <f t="shared" si="7"/>
        <v>-1</v>
      </c>
      <c r="F70" t="str">
        <f t="shared" si="5"/>
        <v xml:space="preserve"> </v>
      </c>
    </row>
    <row r="71" spans="2:6" x14ac:dyDescent="0.35">
      <c r="B71">
        <v>69</v>
      </c>
      <c r="C71">
        <f t="shared" si="6"/>
        <v>9.1420000000000101</v>
      </c>
      <c r="D71" s="1">
        <f t="shared" si="4"/>
        <v>5.1776999999999997</v>
      </c>
      <c r="E71" s="44">
        <f t="shared" si="7"/>
        <v>-1</v>
      </c>
      <c r="F71" t="str">
        <f t="shared" si="5"/>
        <v xml:space="preserve"> </v>
      </c>
    </row>
    <row r="72" spans="2:6" x14ac:dyDescent="0.35">
      <c r="B72">
        <v>70</v>
      </c>
      <c r="C72">
        <f t="shared" si="6"/>
        <v>9.2600000000000104</v>
      </c>
      <c r="D72" s="1">
        <f t="shared" si="4"/>
        <v>5.0319000000000003</v>
      </c>
      <c r="E72" s="44">
        <f t="shared" si="7"/>
        <v>-1</v>
      </c>
      <c r="F72" t="str">
        <f t="shared" si="5"/>
        <v xml:space="preserve"> </v>
      </c>
    </row>
    <row r="73" spans="2:6" x14ac:dyDescent="0.35">
      <c r="B73">
        <v>71</v>
      </c>
      <c r="C73">
        <f t="shared" si="6"/>
        <v>9.3780000000000108</v>
      </c>
      <c r="D73" s="1">
        <f t="shared" si="4"/>
        <v>4.8402000000000003</v>
      </c>
      <c r="E73" s="44">
        <f t="shared" si="7"/>
        <v>-1</v>
      </c>
      <c r="F73" t="str">
        <f t="shared" si="5"/>
        <v xml:space="preserve"> </v>
      </c>
    </row>
    <row r="74" spans="2:6" x14ac:dyDescent="0.35">
      <c r="B74">
        <v>72</v>
      </c>
      <c r="C74">
        <f t="shared" si="6"/>
        <v>9.4960000000000111</v>
      </c>
      <c r="D74" s="1">
        <f t="shared" si="4"/>
        <v>4.6055000000000001</v>
      </c>
      <c r="E74" s="44">
        <f t="shared" si="7"/>
        <v>-1</v>
      </c>
      <c r="F74" t="str">
        <f t="shared" si="5"/>
        <v xml:space="preserve"> </v>
      </c>
    </row>
    <row r="75" spans="2:6" x14ac:dyDescent="0.35">
      <c r="B75">
        <v>73</v>
      </c>
      <c r="C75">
        <f t="shared" si="6"/>
        <v>9.6140000000000114</v>
      </c>
      <c r="D75" s="1">
        <f t="shared" si="4"/>
        <v>4.3311000000000002</v>
      </c>
      <c r="E75" s="44">
        <f t="shared" si="7"/>
        <v>-1</v>
      </c>
      <c r="F75" t="str">
        <f t="shared" si="5"/>
        <v xml:space="preserve"> </v>
      </c>
    </row>
    <row r="76" spans="2:6" x14ac:dyDescent="0.35">
      <c r="B76">
        <v>74</v>
      </c>
      <c r="C76">
        <f t="shared" si="6"/>
        <v>9.7320000000000118</v>
      </c>
      <c r="D76" s="1">
        <f t="shared" si="4"/>
        <v>4.0209999999999999</v>
      </c>
      <c r="E76" s="44">
        <f t="shared" si="7"/>
        <v>-1</v>
      </c>
      <c r="F76" t="str">
        <f t="shared" si="5"/>
        <v xml:space="preserve"> </v>
      </c>
    </row>
    <row r="77" spans="2:6" x14ac:dyDescent="0.35">
      <c r="B77">
        <v>75</v>
      </c>
      <c r="C77">
        <f t="shared" si="6"/>
        <v>9.8500000000000121</v>
      </c>
      <c r="D77" s="1">
        <f t="shared" si="4"/>
        <v>3.6793999999999998</v>
      </c>
      <c r="E77" s="44">
        <f t="shared" si="7"/>
        <v>-1</v>
      </c>
      <c r="F77" t="str">
        <f t="shared" si="5"/>
        <v xml:space="preserve"> </v>
      </c>
    </row>
    <row r="78" spans="2:6" x14ac:dyDescent="0.35">
      <c r="B78">
        <v>76</v>
      </c>
      <c r="C78">
        <f t="shared" si="6"/>
        <v>9.9680000000000124</v>
      </c>
      <c r="D78" s="1">
        <f t="shared" si="4"/>
        <v>3.3111999999999999</v>
      </c>
      <c r="E78" s="44">
        <f t="shared" si="7"/>
        <v>-1</v>
      </c>
      <c r="F78">
        <f t="shared" si="5"/>
        <v>1</v>
      </c>
    </row>
    <row r="79" spans="2:6" x14ac:dyDescent="0.35">
      <c r="B79">
        <v>77</v>
      </c>
      <c r="C79">
        <f t="shared" si="6"/>
        <v>10.086000000000013</v>
      </c>
      <c r="D79" s="1">
        <f t="shared" si="4"/>
        <v>2.9217</v>
      </c>
      <c r="E79" s="44">
        <f t="shared" si="7"/>
        <v>-1</v>
      </c>
      <c r="F79" t="str">
        <f t="shared" si="5"/>
        <v xml:space="preserve"> </v>
      </c>
    </row>
    <row r="80" spans="2:6" x14ac:dyDescent="0.35">
      <c r="B80">
        <v>78</v>
      </c>
      <c r="C80">
        <f t="shared" si="6"/>
        <v>10.204000000000013</v>
      </c>
      <c r="D80" s="1">
        <f t="shared" si="4"/>
        <v>2.5162</v>
      </c>
      <c r="E80" s="44">
        <f t="shared" si="7"/>
        <v>-1</v>
      </c>
      <c r="F80" t="str">
        <f t="shared" si="5"/>
        <v xml:space="preserve"> </v>
      </c>
    </row>
    <row r="81" spans="2:6" x14ac:dyDescent="0.35">
      <c r="B81">
        <v>79</v>
      </c>
      <c r="C81">
        <f t="shared" si="6"/>
        <v>10.322000000000013</v>
      </c>
      <c r="D81" s="1">
        <f t="shared" si="4"/>
        <v>2.1006</v>
      </c>
      <c r="E81" s="44">
        <f t="shared" si="7"/>
        <v>-1</v>
      </c>
      <c r="F81" t="str">
        <f t="shared" si="5"/>
        <v xml:space="preserve"> </v>
      </c>
    </row>
    <row r="82" spans="2:6" x14ac:dyDescent="0.35">
      <c r="B82">
        <v>80</v>
      </c>
      <c r="C82">
        <f t="shared" si="6"/>
        <v>10.440000000000014</v>
      </c>
      <c r="D82" s="1">
        <f t="shared" si="4"/>
        <v>1.6806000000000001</v>
      </c>
      <c r="E82" s="44">
        <f t="shared" si="7"/>
        <v>-1</v>
      </c>
      <c r="F82" t="str">
        <f t="shared" si="5"/>
        <v xml:space="preserve"> </v>
      </c>
    </row>
    <row r="83" spans="2:6" x14ac:dyDescent="0.35">
      <c r="B83">
        <v>81</v>
      </c>
      <c r="C83">
        <f t="shared" si="6"/>
        <v>10.558000000000014</v>
      </c>
      <c r="D83" s="1">
        <f t="shared" si="4"/>
        <v>1.2622</v>
      </c>
      <c r="E83" s="44">
        <f t="shared" si="7"/>
        <v>-1</v>
      </c>
      <c r="F83" t="str">
        <f t="shared" si="5"/>
        <v xml:space="preserve"> </v>
      </c>
    </row>
    <row r="84" spans="2:6" x14ac:dyDescent="0.35">
      <c r="B84">
        <v>82</v>
      </c>
      <c r="C84">
        <f t="shared" si="6"/>
        <v>10.676000000000014</v>
      </c>
      <c r="D84" s="1">
        <f t="shared" si="4"/>
        <v>0.85129999999999995</v>
      </c>
      <c r="E84" s="44">
        <f t="shared" si="7"/>
        <v>-1</v>
      </c>
      <c r="F84" t="str">
        <f t="shared" si="5"/>
        <v xml:space="preserve"> </v>
      </c>
    </row>
    <row r="85" spans="2:6" x14ac:dyDescent="0.35">
      <c r="B85">
        <v>83</v>
      </c>
      <c r="C85">
        <f t="shared" si="6"/>
        <v>10.794000000000015</v>
      </c>
      <c r="D85" s="1">
        <f t="shared" si="4"/>
        <v>0.45369999999999999</v>
      </c>
      <c r="E85" s="44">
        <f t="shared" si="7"/>
        <v>-1</v>
      </c>
      <c r="F85" t="str">
        <f t="shared" si="5"/>
        <v xml:space="preserve"> </v>
      </c>
    </row>
    <row r="86" spans="2:6" x14ac:dyDescent="0.35">
      <c r="B86">
        <v>84</v>
      </c>
      <c r="C86">
        <f t="shared" si="6"/>
        <v>10.912000000000015</v>
      </c>
      <c r="D86" s="1">
        <f t="shared" si="4"/>
        <v>7.4899999999999994E-2</v>
      </c>
      <c r="E86" s="44">
        <f t="shared" si="7"/>
        <v>-1</v>
      </c>
      <c r="F86" t="str">
        <f t="shared" si="5"/>
        <v xml:space="preserve"> </v>
      </c>
    </row>
    <row r="87" spans="2:6" x14ac:dyDescent="0.35">
      <c r="B87">
        <v>85</v>
      </c>
      <c r="C87">
        <f t="shared" si="6"/>
        <v>11.030000000000015</v>
      </c>
      <c r="D87" s="1">
        <f t="shared" si="4"/>
        <v>-0.2797</v>
      </c>
      <c r="E87" s="44">
        <f t="shared" si="7"/>
        <v>-1</v>
      </c>
      <c r="F87" t="str">
        <f t="shared" si="5"/>
        <v xml:space="preserve"> </v>
      </c>
    </row>
    <row r="88" spans="2:6" x14ac:dyDescent="0.35">
      <c r="B88">
        <v>86</v>
      </c>
      <c r="C88">
        <f t="shared" si="6"/>
        <v>11.148000000000016</v>
      </c>
      <c r="D88" s="1">
        <f t="shared" si="4"/>
        <v>-0.60509999999999997</v>
      </c>
      <c r="E88" s="44">
        <f t="shared" si="7"/>
        <v>-1</v>
      </c>
      <c r="F88" t="str">
        <f t="shared" si="5"/>
        <v xml:space="preserve"> </v>
      </c>
    </row>
    <row r="89" spans="2:6" x14ac:dyDescent="0.35">
      <c r="B89">
        <v>87</v>
      </c>
      <c r="C89">
        <f t="shared" si="6"/>
        <v>11.266000000000016</v>
      </c>
      <c r="D89" s="1">
        <f t="shared" si="4"/>
        <v>-0.89670000000000005</v>
      </c>
      <c r="E89" s="44">
        <f t="shared" si="7"/>
        <v>-1</v>
      </c>
      <c r="F89" t="str">
        <f t="shared" si="5"/>
        <v xml:space="preserve"> </v>
      </c>
    </row>
    <row r="90" spans="2:6" x14ac:dyDescent="0.35">
      <c r="B90">
        <v>88</v>
      </c>
      <c r="C90">
        <f t="shared" si="6"/>
        <v>11.384000000000016</v>
      </c>
      <c r="D90" s="1">
        <f t="shared" si="4"/>
        <v>-1.1504000000000001</v>
      </c>
      <c r="E90" s="44">
        <f t="shared" si="7"/>
        <v>-1</v>
      </c>
      <c r="F90" t="str">
        <f t="shared" si="5"/>
        <v xml:space="preserve"> </v>
      </c>
    </row>
    <row r="91" spans="2:6" x14ac:dyDescent="0.35">
      <c r="B91">
        <v>89</v>
      </c>
      <c r="C91">
        <f t="shared" si="6"/>
        <v>11.502000000000017</v>
      </c>
      <c r="D91" s="1">
        <f t="shared" si="4"/>
        <v>-1.3625</v>
      </c>
      <c r="E91" s="44">
        <f t="shared" si="7"/>
        <v>-1</v>
      </c>
      <c r="F91" t="str">
        <f t="shared" si="5"/>
        <v xml:space="preserve"> </v>
      </c>
    </row>
    <row r="92" spans="2:6" x14ac:dyDescent="0.35">
      <c r="B92">
        <v>90</v>
      </c>
      <c r="C92">
        <f t="shared" si="6"/>
        <v>11.620000000000017</v>
      </c>
      <c r="D92" s="1">
        <f t="shared" si="4"/>
        <v>-1.5302</v>
      </c>
      <c r="E92" s="44">
        <f t="shared" si="7"/>
        <v>-1</v>
      </c>
      <c r="F92" t="str">
        <f t="shared" si="5"/>
        <v xml:space="preserve"> </v>
      </c>
    </row>
    <row r="93" spans="2:6" x14ac:dyDescent="0.35">
      <c r="B93">
        <v>91</v>
      </c>
      <c r="C93">
        <f t="shared" si="6"/>
        <v>11.738000000000017</v>
      </c>
      <c r="D93" s="1">
        <f t="shared" si="4"/>
        <v>-1.6509</v>
      </c>
      <c r="E93" s="44">
        <f t="shared" si="7"/>
        <v>-1</v>
      </c>
      <c r="F93" t="str">
        <f t="shared" si="5"/>
        <v xml:space="preserve"> </v>
      </c>
    </row>
    <row r="94" spans="2:6" ht="15" thickBot="1" x14ac:dyDescent="0.4">
      <c r="B94">
        <v>92</v>
      </c>
      <c r="C94">
        <f t="shared" si="6"/>
        <v>11.856000000000018</v>
      </c>
      <c r="D94" s="1">
        <f t="shared" si="4"/>
        <v>-1.7230000000000001</v>
      </c>
      <c r="E94" s="44">
        <f t="shared" si="7"/>
        <v>-1</v>
      </c>
      <c r="F94" t="str">
        <f t="shared" si="5"/>
        <v xml:space="preserve"> </v>
      </c>
    </row>
    <row r="95" spans="2:6" ht="15" thickBot="1" x14ac:dyDescent="0.4">
      <c r="B95">
        <v>93</v>
      </c>
      <c r="C95">
        <f t="shared" si="6"/>
        <v>11.974000000000018</v>
      </c>
      <c r="D95" s="1">
        <f t="shared" si="4"/>
        <v>-1.7453000000000001</v>
      </c>
      <c r="E95" s="46">
        <f>IF(D95-D94&gt;0,1,-1)</f>
        <v>-1</v>
      </c>
      <c r="F95" t="str">
        <f t="shared" si="5"/>
        <v xml:space="preserve"> </v>
      </c>
    </row>
    <row r="96" spans="2:6" x14ac:dyDescent="0.35">
      <c r="B96">
        <v>94</v>
      </c>
      <c r="C96">
        <f t="shared" si="6"/>
        <v>12.092000000000018</v>
      </c>
      <c r="D96" s="1">
        <f t="shared" si="4"/>
        <v>-1.7175</v>
      </c>
      <c r="E96" s="44">
        <f t="shared" si="7"/>
        <v>1</v>
      </c>
      <c r="F96" t="str">
        <f t="shared" si="5"/>
        <v xml:space="preserve"> </v>
      </c>
    </row>
    <row r="97" spans="2:6" x14ac:dyDescent="0.35">
      <c r="B97">
        <v>95</v>
      </c>
      <c r="C97">
        <f t="shared" si="6"/>
        <v>12.210000000000019</v>
      </c>
      <c r="D97" s="1">
        <f t="shared" si="4"/>
        <v>-1.64</v>
      </c>
      <c r="E97" s="44">
        <f t="shared" si="7"/>
        <v>1</v>
      </c>
      <c r="F97" t="str">
        <f t="shared" si="5"/>
        <v xml:space="preserve"> </v>
      </c>
    </row>
    <row r="98" spans="2:6" x14ac:dyDescent="0.35">
      <c r="B98">
        <v>96</v>
      </c>
      <c r="C98">
        <f t="shared" si="6"/>
        <v>12.328000000000019</v>
      </c>
      <c r="D98" s="1">
        <f t="shared" si="4"/>
        <v>-1.5136000000000001</v>
      </c>
      <c r="E98" s="44">
        <f t="shared" si="7"/>
        <v>1</v>
      </c>
      <c r="F98" t="str">
        <f t="shared" si="5"/>
        <v xml:space="preserve"> </v>
      </c>
    </row>
    <row r="99" spans="2:6" x14ac:dyDescent="0.35">
      <c r="B99">
        <v>97</v>
      </c>
      <c r="C99">
        <f t="shared" si="6"/>
        <v>12.446000000000019</v>
      </c>
      <c r="D99" s="1">
        <f t="shared" si="4"/>
        <v>-1.3402000000000001</v>
      </c>
      <c r="E99" s="44">
        <f t="shared" si="7"/>
        <v>1</v>
      </c>
      <c r="F99" t="str">
        <f t="shared" si="5"/>
        <v xml:space="preserve"> </v>
      </c>
    </row>
    <row r="100" spans="2:6" x14ac:dyDescent="0.35">
      <c r="B100">
        <v>98</v>
      </c>
      <c r="C100">
        <f t="shared" si="6"/>
        <v>12.56400000000002</v>
      </c>
      <c r="D100" s="1">
        <f t="shared" si="4"/>
        <v>-1.1220000000000001</v>
      </c>
      <c r="E100" s="44">
        <f t="shared" si="7"/>
        <v>1</v>
      </c>
      <c r="F100" t="str">
        <f t="shared" si="5"/>
        <v xml:space="preserve"> </v>
      </c>
    </row>
    <row r="101" spans="2:6" x14ac:dyDescent="0.35">
      <c r="B101">
        <v>99</v>
      </c>
      <c r="C101">
        <f t="shared" si="6"/>
        <v>12.68200000000002</v>
      </c>
      <c r="D101" s="1">
        <f t="shared" si="4"/>
        <v>-0.86209999999999998</v>
      </c>
      <c r="E101" s="44">
        <f t="shared" si="7"/>
        <v>1</v>
      </c>
      <c r="F101" t="str">
        <f t="shared" si="5"/>
        <v xml:space="preserve"> </v>
      </c>
    </row>
    <row r="102" spans="2:6" x14ac:dyDescent="0.35">
      <c r="B102">
        <v>100</v>
      </c>
      <c r="C102">
        <f t="shared" si="6"/>
        <v>12.80000000000002</v>
      </c>
      <c r="D102" s="1">
        <f t="shared" si="4"/>
        <v>-0.56399999999999995</v>
      </c>
      <c r="E102" s="44">
        <f t="shared" si="7"/>
        <v>1</v>
      </c>
      <c r="F102" t="str">
        <f t="shared" si="5"/>
        <v xml:space="preserve"> </v>
      </c>
    </row>
    <row r="103" spans="2:6" x14ac:dyDescent="0.35">
      <c r="B103">
        <v>101</v>
      </c>
      <c r="C103">
        <f t="shared" si="6"/>
        <v>12.918000000000021</v>
      </c>
      <c r="D103" s="1">
        <f t="shared" si="4"/>
        <v>-0.23180000000000001</v>
      </c>
      <c r="E103" s="44">
        <f t="shared" si="7"/>
        <v>1</v>
      </c>
      <c r="F103" t="str">
        <f t="shared" si="5"/>
        <v xml:space="preserve"> </v>
      </c>
    </row>
    <row r="104" spans="2:6" x14ac:dyDescent="0.35">
      <c r="B104">
        <v>102</v>
      </c>
      <c r="C104">
        <f t="shared" si="6"/>
        <v>13.036000000000021</v>
      </c>
      <c r="D104" s="1">
        <f t="shared" si="4"/>
        <v>0.13</v>
      </c>
      <c r="E104" s="44">
        <f t="shared" si="7"/>
        <v>1</v>
      </c>
      <c r="F104" t="str">
        <f t="shared" si="5"/>
        <v xml:space="preserve"> </v>
      </c>
    </row>
    <row r="105" spans="2:6" x14ac:dyDescent="0.35">
      <c r="B105">
        <v>103</v>
      </c>
      <c r="C105">
        <f t="shared" si="6"/>
        <v>13.154000000000021</v>
      </c>
      <c r="D105" s="1">
        <f t="shared" si="4"/>
        <v>0.51639999999999997</v>
      </c>
      <c r="E105" s="44">
        <f t="shared" si="7"/>
        <v>1</v>
      </c>
      <c r="F105" t="str">
        <f t="shared" si="5"/>
        <v xml:space="preserve"> </v>
      </c>
    </row>
    <row r="106" spans="2:6" x14ac:dyDescent="0.35">
      <c r="B106">
        <v>104</v>
      </c>
      <c r="C106">
        <f t="shared" si="6"/>
        <v>13.272000000000022</v>
      </c>
      <c r="D106" s="1">
        <f t="shared" si="4"/>
        <v>0.92210000000000003</v>
      </c>
      <c r="E106" s="44">
        <f t="shared" si="7"/>
        <v>1</v>
      </c>
      <c r="F106" t="str">
        <f t="shared" si="5"/>
        <v xml:space="preserve"> </v>
      </c>
    </row>
    <row r="107" spans="2:6" x14ac:dyDescent="0.35">
      <c r="B107">
        <v>105</v>
      </c>
      <c r="C107">
        <f t="shared" si="6"/>
        <v>13.390000000000022</v>
      </c>
      <c r="D107" s="1">
        <f t="shared" si="4"/>
        <v>1.3414999999999999</v>
      </c>
      <c r="E107" s="44">
        <f t="shared" si="7"/>
        <v>1</v>
      </c>
      <c r="F107" t="str">
        <f t="shared" si="5"/>
        <v xml:space="preserve"> </v>
      </c>
    </row>
    <row r="108" spans="2:6" x14ac:dyDescent="0.35">
      <c r="B108">
        <v>106</v>
      </c>
      <c r="C108">
        <f t="shared" si="6"/>
        <v>13.508000000000022</v>
      </c>
      <c r="D108" s="1">
        <f t="shared" si="4"/>
        <v>1.7686999999999999</v>
      </c>
      <c r="E108" s="44">
        <f t="shared" si="7"/>
        <v>1</v>
      </c>
      <c r="F108" t="str">
        <f t="shared" si="5"/>
        <v xml:space="preserve"> </v>
      </c>
    </row>
    <row r="109" spans="2:6" x14ac:dyDescent="0.35">
      <c r="B109">
        <v>107</v>
      </c>
      <c r="C109">
        <f t="shared" si="6"/>
        <v>13.626000000000023</v>
      </c>
      <c r="D109" s="1">
        <f t="shared" si="4"/>
        <v>2.198</v>
      </c>
      <c r="E109" s="44">
        <f t="shared" si="7"/>
        <v>1</v>
      </c>
      <c r="F109" t="str">
        <f t="shared" si="5"/>
        <v xml:space="preserve"> </v>
      </c>
    </row>
    <row r="110" spans="2:6" x14ac:dyDescent="0.35">
      <c r="B110">
        <v>108</v>
      </c>
      <c r="C110">
        <f t="shared" si="6"/>
        <v>13.744000000000023</v>
      </c>
      <c r="D110" s="1">
        <f t="shared" si="4"/>
        <v>2.6234999999999999</v>
      </c>
      <c r="E110" s="44">
        <f t="shared" si="7"/>
        <v>1</v>
      </c>
      <c r="F110">
        <f t="shared" si="5"/>
        <v>1</v>
      </c>
    </row>
    <row r="111" spans="2:6" x14ac:dyDescent="0.35">
      <c r="B111">
        <v>109</v>
      </c>
      <c r="C111">
        <f t="shared" si="6"/>
        <v>13.862000000000023</v>
      </c>
      <c r="D111" s="1">
        <f t="shared" si="4"/>
        <v>3.0392000000000001</v>
      </c>
      <c r="E111" s="44">
        <f t="shared" si="7"/>
        <v>1</v>
      </c>
      <c r="F111" t="str">
        <f t="shared" si="5"/>
        <v xml:space="preserve"> </v>
      </c>
    </row>
    <row r="112" spans="2:6" x14ac:dyDescent="0.35">
      <c r="B112">
        <v>110</v>
      </c>
      <c r="C112">
        <f t="shared" si="6"/>
        <v>13.980000000000024</v>
      </c>
      <c r="D112" s="1">
        <f t="shared" si="4"/>
        <v>3.4394</v>
      </c>
      <c r="E112" s="44">
        <f t="shared" si="7"/>
        <v>1</v>
      </c>
      <c r="F112" t="str">
        <f t="shared" si="5"/>
        <v xml:space="preserve"> </v>
      </c>
    </row>
    <row r="113" spans="2:6" x14ac:dyDescent="0.35">
      <c r="B113">
        <v>111</v>
      </c>
      <c r="C113">
        <f t="shared" si="6"/>
        <v>14.098000000000024</v>
      </c>
      <c r="D113" s="1">
        <f t="shared" si="4"/>
        <v>3.8187000000000002</v>
      </c>
      <c r="E113" s="44">
        <f t="shared" si="7"/>
        <v>1</v>
      </c>
      <c r="F113" t="str">
        <f t="shared" si="5"/>
        <v xml:space="preserve"> </v>
      </c>
    </row>
    <row r="114" spans="2:6" x14ac:dyDescent="0.35">
      <c r="B114">
        <v>112</v>
      </c>
      <c r="C114">
        <f t="shared" si="6"/>
        <v>14.216000000000024</v>
      </c>
      <c r="D114" s="1">
        <f t="shared" si="4"/>
        <v>4.1718000000000002</v>
      </c>
      <c r="E114" s="44">
        <f t="shared" si="7"/>
        <v>1</v>
      </c>
      <c r="F114" t="str">
        <f t="shared" si="5"/>
        <v xml:space="preserve"> </v>
      </c>
    </row>
    <row r="115" spans="2:6" x14ac:dyDescent="0.35">
      <c r="B115">
        <v>113</v>
      </c>
      <c r="C115">
        <f t="shared" si="6"/>
        <v>14.334000000000024</v>
      </c>
      <c r="D115" s="1">
        <f t="shared" si="4"/>
        <v>4.4938000000000002</v>
      </c>
      <c r="E115" s="44">
        <f t="shared" si="7"/>
        <v>1</v>
      </c>
      <c r="F115" t="str">
        <f t="shared" si="5"/>
        <v xml:space="preserve"> </v>
      </c>
    </row>
    <row r="116" spans="2:6" x14ac:dyDescent="0.35">
      <c r="B116">
        <v>114</v>
      </c>
      <c r="C116">
        <f t="shared" si="6"/>
        <v>14.452000000000025</v>
      </c>
      <c r="D116" s="1">
        <f t="shared" si="4"/>
        <v>4.7804000000000002</v>
      </c>
      <c r="E116" s="44">
        <f t="shared" si="7"/>
        <v>1</v>
      </c>
      <c r="F116" t="str">
        <f t="shared" si="5"/>
        <v xml:space="preserve"> </v>
      </c>
    </row>
    <row r="117" spans="2:6" x14ac:dyDescent="0.35">
      <c r="B117">
        <v>115</v>
      </c>
      <c r="C117">
        <f t="shared" si="6"/>
        <v>14.570000000000025</v>
      </c>
      <c r="D117" s="1">
        <f t="shared" si="4"/>
        <v>5.0275999999999996</v>
      </c>
      <c r="E117" s="44">
        <f t="shared" si="7"/>
        <v>1</v>
      </c>
      <c r="F117" t="str">
        <f t="shared" si="5"/>
        <v xml:space="preserve"> </v>
      </c>
    </row>
    <row r="118" spans="2:6" x14ac:dyDescent="0.35">
      <c r="B118">
        <v>116</v>
      </c>
      <c r="C118">
        <f t="shared" si="6"/>
        <v>14.688000000000025</v>
      </c>
      <c r="D118" s="1">
        <f t="shared" si="4"/>
        <v>5.2320000000000002</v>
      </c>
      <c r="E118" s="44">
        <f t="shared" si="7"/>
        <v>1</v>
      </c>
      <c r="F118" t="str">
        <f t="shared" si="5"/>
        <v xml:space="preserve"> </v>
      </c>
    </row>
    <row r="119" spans="2:6" x14ac:dyDescent="0.35">
      <c r="B119">
        <v>117</v>
      </c>
      <c r="C119">
        <f t="shared" si="6"/>
        <v>14.806000000000026</v>
      </c>
      <c r="D119" s="1">
        <f t="shared" si="4"/>
        <v>5.3909000000000002</v>
      </c>
      <c r="E119" s="44">
        <f t="shared" si="7"/>
        <v>1</v>
      </c>
      <c r="F119" t="str">
        <f t="shared" si="5"/>
        <v xml:space="preserve"> </v>
      </c>
    </row>
    <row r="120" spans="2:6" x14ac:dyDescent="0.35">
      <c r="B120">
        <v>118</v>
      </c>
      <c r="C120">
        <f t="shared" si="6"/>
        <v>14.924000000000026</v>
      </c>
      <c r="D120" s="1">
        <f t="shared" si="4"/>
        <v>5.5019999999999998</v>
      </c>
      <c r="E120" s="44">
        <f t="shared" si="7"/>
        <v>1</v>
      </c>
      <c r="F120" t="str">
        <f t="shared" si="5"/>
        <v xml:space="preserve"> </v>
      </c>
    </row>
    <row r="121" spans="2:6" ht="15" thickBot="1" x14ac:dyDescent="0.4">
      <c r="B121">
        <v>119</v>
      </c>
      <c r="C121">
        <f t="shared" si="6"/>
        <v>15.042000000000026</v>
      </c>
      <c r="D121" s="1">
        <f t="shared" si="4"/>
        <v>5.5640000000000001</v>
      </c>
      <c r="E121" s="44">
        <f t="shared" si="7"/>
        <v>1</v>
      </c>
      <c r="F121" t="str">
        <f t="shared" si="5"/>
        <v xml:space="preserve"> </v>
      </c>
    </row>
    <row r="122" spans="2:6" ht="15" thickBot="1" x14ac:dyDescent="0.4">
      <c r="B122">
        <v>120</v>
      </c>
      <c r="C122">
        <f t="shared" si="6"/>
        <v>15.160000000000027</v>
      </c>
      <c r="D122" s="1">
        <f t="shared" si="4"/>
        <v>5.5758999999999999</v>
      </c>
      <c r="E122" s="46">
        <f t="shared" si="7"/>
        <v>1</v>
      </c>
      <c r="F122" t="str">
        <f t="shared" si="5"/>
        <v xml:space="preserve"> </v>
      </c>
    </row>
    <row r="123" spans="2:6" x14ac:dyDescent="0.35">
      <c r="B123">
        <v>121</v>
      </c>
      <c r="C123">
        <f t="shared" si="6"/>
        <v>15.278000000000027</v>
      </c>
      <c r="D123" s="1">
        <f t="shared" si="4"/>
        <v>5.5377000000000001</v>
      </c>
      <c r="E123" s="44">
        <f t="shared" si="7"/>
        <v>-1</v>
      </c>
      <c r="F123" t="str">
        <f t="shared" si="5"/>
        <v xml:space="preserve"> </v>
      </c>
    </row>
    <row r="124" spans="2:6" x14ac:dyDescent="0.35">
      <c r="B124">
        <v>122</v>
      </c>
      <c r="C124">
        <f t="shared" si="6"/>
        <v>15.396000000000027</v>
      </c>
      <c r="D124" s="1">
        <f t="shared" si="4"/>
        <v>5.4499000000000004</v>
      </c>
      <c r="E124" s="44">
        <f t="shared" si="7"/>
        <v>-1</v>
      </c>
      <c r="F124" t="str">
        <f t="shared" si="5"/>
        <v xml:space="preserve"> </v>
      </c>
    </row>
    <row r="125" spans="2:6" x14ac:dyDescent="0.35">
      <c r="B125">
        <v>123</v>
      </c>
      <c r="C125">
        <f t="shared" si="6"/>
        <v>15.514000000000028</v>
      </c>
      <c r="D125" s="1">
        <f t="shared" si="4"/>
        <v>5.3139000000000003</v>
      </c>
      <c r="E125" s="44">
        <f t="shared" si="7"/>
        <v>-1</v>
      </c>
      <c r="F125" t="str">
        <f t="shared" si="5"/>
        <v xml:space="preserve"> </v>
      </c>
    </row>
    <row r="126" spans="2:6" x14ac:dyDescent="0.35">
      <c r="B126">
        <v>124</v>
      </c>
      <c r="C126">
        <f t="shared" si="6"/>
        <v>15.632000000000028</v>
      </c>
      <c r="D126" s="1">
        <f t="shared" si="4"/>
        <v>5.1315</v>
      </c>
      <c r="E126" s="44">
        <f t="shared" si="7"/>
        <v>-1</v>
      </c>
      <c r="F126" t="str">
        <f t="shared" si="5"/>
        <v xml:space="preserve"> </v>
      </c>
    </row>
    <row r="127" spans="2:6" x14ac:dyDescent="0.35">
      <c r="B127">
        <v>125</v>
      </c>
      <c r="C127">
        <f t="shared" si="6"/>
        <v>15.750000000000028</v>
      </c>
      <c r="D127" s="1">
        <f t="shared" si="4"/>
        <v>4.9054000000000002</v>
      </c>
      <c r="E127" s="44">
        <f t="shared" si="7"/>
        <v>-1</v>
      </c>
      <c r="F127" t="str">
        <f t="shared" si="5"/>
        <v xml:space="preserve"> </v>
      </c>
    </row>
    <row r="128" spans="2:6" x14ac:dyDescent="0.35">
      <c r="B128">
        <v>126</v>
      </c>
      <c r="C128">
        <f t="shared" si="6"/>
        <v>15.868000000000029</v>
      </c>
      <c r="D128" s="1">
        <f t="shared" si="4"/>
        <v>4.6387999999999998</v>
      </c>
      <c r="E128" s="44">
        <f t="shared" si="7"/>
        <v>-1</v>
      </c>
      <c r="F128" t="str">
        <f t="shared" si="5"/>
        <v xml:space="preserve"> </v>
      </c>
    </row>
    <row r="129" spans="2:6" x14ac:dyDescent="0.35">
      <c r="B129">
        <v>127</v>
      </c>
      <c r="C129">
        <f t="shared" si="6"/>
        <v>15.986000000000029</v>
      </c>
      <c r="D129" s="1">
        <f t="shared" si="4"/>
        <v>4.3353999999999999</v>
      </c>
      <c r="E129" s="44">
        <f t="shared" si="7"/>
        <v>-1</v>
      </c>
      <c r="F129" t="str">
        <f t="shared" si="5"/>
        <v xml:space="preserve"> </v>
      </c>
    </row>
    <row r="130" spans="2:6" x14ac:dyDescent="0.35">
      <c r="B130">
        <v>128</v>
      </c>
      <c r="C130">
        <f t="shared" si="6"/>
        <v>16.104000000000028</v>
      </c>
      <c r="D130" s="1">
        <f t="shared" ref="D130:D193" si="8">ROUND(POWER(C130,1/4)+2*SIN(C130)-3*COS(C130),4)</f>
        <v>3.9994999999999998</v>
      </c>
      <c r="E130" s="44">
        <f t="shared" si="7"/>
        <v>-1</v>
      </c>
      <c r="F130" t="str">
        <f t="shared" si="5"/>
        <v xml:space="preserve"> </v>
      </c>
    </row>
    <row r="131" spans="2:6" x14ac:dyDescent="0.35">
      <c r="B131">
        <v>129</v>
      </c>
      <c r="C131">
        <f t="shared" si="6"/>
        <v>16.222000000000026</v>
      </c>
      <c r="D131" s="1">
        <f t="shared" si="8"/>
        <v>3.6358000000000001</v>
      </c>
      <c r="E131" s="44">
        <f t="shared" si="7"/>
        <v>-1</v>
      </c>
      <c r="F131" t="str">
        <f t="shared" ref="F131:F194" si="9">IF((D131-$F$1)*(D132-$F$1)&lt;0,1," ")</f>
        <v xml:space="preserve"> </v>
      </c>
    </row>
    <row r="132" spans="2:6" x14ac:dyDescent="0.35">
      <c r="B132">
        <v>130</v>
      </c>
      <c r="C132">
        <f t="shared" ref="C132:C195" si="10">C131+$C$1</f>
        <v>16.340000000000025</v>
      </c>
      <c r="D132" s="1">
        <f t="shared" si="8"/>
        <v>3.2494000000000001</v>
      </c>
      <c r="E132" s="44">
        <f t="shared" ref="E132:E195" si="11">IF(D132-D131&gt;0,1,-1)</f>
        <v>-1</v>
      </c>
      <c r="F132">
        <f t="shared" si="9"/>
        <v>1</v>
      </c>
    </row>
    <row r="133" spans="2:6" x14ac:dyDescent="0.35">
      <c r="B133">
        <v>131</v>
      </c>
      <c r="C133">
        <f t="shared" si="10"/>
        <v>16.458000000000023</v>
      </c>
      <c r="D133" s="1">
        <f t="shared" si="8"/>
        <v>2.8458000000000001</v>
      </c>
      <c r="E133" s="44">
        <f t="shared" si="11"/>
        <v>-1</v>
      </c>
      <c r="F133" t="str">
        <f t="shared" si="9"/>
        <v xml:space="preserve"> </v>
      </c>
    </row>
    <row r="134" spans="2:6" x14ac:dyDescent="0.35">
      <c r="B134">
        <v>132</v>
      </c>
      <c r="C134">
        <f t="shared" si="10"/>
        <v>16.576000000000022</v>
      </c>
      <c r="D134" s="1">
        <f t="shared" si="8"/>
        <v>2.4306000000000001</v>
      </c>
      <c r="E134" s="44">
        <f t="shared" si="11"/>
        <v>-1</v>
      </c>
      <c r="F134" t="str">
        <f t="shared" si="9"/>
        <v xml:space="preserve"> </v>
      </c>
    </row>
    <row r="135" spans="2:6" x14ac:dyDescent="0.35">
      <c r="B135">
        <v>133</v>
      </c>
      <c r="C135">
        <f t="shared" si="10"/>
        <v>16.69400000000002</v>
      </c>
      <c r="D135" s="1">
        <f t="shared" si="8"/>
        <v>2.0097</v>
      </c>
      <c r="E135" s="44">
        <f t="shared" si="11"/>
        <v>-1</v>
      </c>
      <c r="F135" t="str">
        <f t="shared" si="9"/>
        <v xml:space="preserve"> </v>
      </c>
    </row>
    <row r="136" spans="2:6" x14ac:dyDescent="0.35">
      <c r="B136">
        <v>134</v>
      </c>
      <c r="C136">
        <f t="shared" si="10"/>
        <v>16.812000000000019</v>
      </c>
      <c r="D136" s="1">
        <f t="shared" si="8"/>
        <v>1.5888</v>
      </c>
      <c r="E136" s="44">
        <f t="shared" si="11"/>
        <v>-1</v>
      </c>
      <c r="F136" t="str">
        <f t="shared" si="9"/>
        <v xml:space="preserve"> </v>
      </c>
    </row>
    <row r="137" spans="2:6" x14ac:dyDescent="0.35">
      <c r="B137">
        <v>135</v>
      </c>
      <c r="C137">
        <f t="shared" si="10"/>
        <v>16.930000000000017</v>
      </c>
      <c r="D137" s="1">
        <f t="shared" si="8"/>
        <v>1.1740999999999999</v>
      </c>
      <c r="E137" s="44">
        <f t="shared" si="11"/>
        <v>-1</v>
      </c>
      <c r="F137" t="str">
        <f t="shared" si="9"/>
        <v xml:space="preserve"> </v>
      </c>
    </row>
    <row r="138" spans="2:6" x14ac:dyDescent="0.35">
      <c r="B138">
        <v>136</v>
      </c>
      <c r="C138">
        <f t="shared" si="10"/>
        <v>17.048000000000016</v>
      </c>
      <c r="D138" s="1">
        <f t="shared" si="8"/>
        <v>0.77110000000000001</v>
      </c>
      <c r="E138" s="44">
        <f t="shared" si="11"/>
        <v>-1</v>
      </c>
      <c r="F138" t="str">
        <f t="shared" si="9"/>
        <v xml:space="preserve"> </v>
      </c>
    </row>
    <row r="139" spans="2:6" x14ac:dyDescent="0.35">
      <c r="B139">
        <v>137</v>
      </c>
      <c r="C139">
        <f t="shared" si="10"/>
        <v>17.166000000000015</v>
      </c>
      <c r="D139" s="1">
        <f t="shared" si="8"/>
        <v>0.38569999999999999</v>
      </c>
      <c r="E139" s="44">
        <f t="shared" si="11"/>
        <v>-1</v>
      </c>
      <c r="F139" t="str">
        <f t="shared" si="9"/>
        <v xml:space="preserve"> </v>
      </c>
    </row>
    <row r="140" spans="2:6" x14ac:dyDescent="0.35">
      <c r="B140">
        <v>138</v>
      </c>
      <c r="C140">
        <f t="shared" si="10"/>
        <v>17.284000000000013</v>
      </c>
      <c r="D140" s="1">
        <f t="shared" si="8"/>
        <v>2.3300000000000001E-2</v>
      </c>
      <c r="E140" s="44">
        <f t="shared" si="11"/>
        <v>-1</v>
      </c>
      <c r="F140" t="str">
        <f t="shared" si="9"/>
        <v xml:space="preserve"> </v>
      </c>
    </row>
    <row r="141" spans="2:6" x14ac:dyDescent="0.35">
      <c r="B141">
        <v>139</v>
      </c>
      <c r="C141">
        <f t="shared" si="10"/>
        <v>17.402000000000012</v>
      </c>
      <c r="D141" s="1">
        <f t="shared" si="8"/>
        <v>-0.31119999999999998</v>
      </c>
      <c r="E141" s="44">
        <f t="shared" si="11"/>
        <v>-1</v>
      </c>
      <c r="F141" t="str">
        <f t="shared" si="9"/>
        <v xml:space="preserve"> </v>
      </c>
    </row>
    <row r="142" spans="2:6" x14ac:dyDescent="0.35">
      <c r="B142">
        <v>140</v>
      </c>
      <c r="C142">
        <f t="shared" si="10"/>
        <v>17.52000000000001</v>
      </c>
      <c r="D142" s="1">
        <f t="shared" si="8"/>
        <v>-0.6129</v>
      </c>
      <c r="E142" s="44">
        <f t="shared" si="11"/>
        <v>-1</v>
      </c>
      <c r="F142" t="str">
        <f t="shared" si="9"/>
        <v xml:space="preserve"> </v>
      </c>
    </row>
    <row r="143" spans="2:6" x14ac:dyDescent="0.35">
      <c r="B143">
        <v>141</v>
      </c>
      <c r="C143">
        <f t="shared" si="10"/>
        <v>17.638000000000009</v>
      </c>
      <c r="D143" s="1">
        <f t="shared" si="8"/>
        <v>-0.87770000000000004</v>
      </c>
      <c r="E143" s="44">
        <f t="shared" si="11"/>
        <v>-1</v>
      </c>
      <c r="F143" t="str">
        <f t="shared" si="9"/>
        <v xml:space="preserve"> </v>
      </c>
    </row>
    <row r="144" spans="2:6" x14ac:dyDescent="0.35">
      <c r="B144">
        <v>142</v>
      </c>
      <c r="C144">
        <f t="shared" si="10"/>
        <v>17.756000000000007</v>
      </c>
      <c r="D144" s="1">
        <f t="shared" si="8"/>
        <v>-1.1017999999999999</v>
      </c>
      <c r="E144" s="44">
        <f t="shared" si="11"/>
        <v>-1</v>
      </c>
      <c r="F144" t="str">
        <f t="shared" si="9"/>
        <v xml:space="preserve"> </v>
      </c>
    </row>
    <row r="145" spans="2:6" x14ac:dyDescent="0.35">
      <c r="B145">
        <v>143</v>
      </c>
      <c r="C145">
        <f t="shared" si="10"/>
        <v>17.874000000000006</v>
      </c>
      <c r="D145" s="1">
        <f t="shared" si="8"/>
        <v>-1.282</v>
      </c>
      <c r="E145" s="44">
        <f t="shared" si="11"/>
        <v>-1</v>
      </c>
      <c r="F145" t="str">
        <f t="shared" si="9"/>
        <v xml:space="preserve"> </v>
      </c>
    </row>
    <row r="146" spans="2:6" x14ac:dyDescent="0.35">
      <c r="B146">
        <v>144</v>
      </c>
      <c r="C146">
        <f t="shared" si="10"/>
        <v>17.992000000000004</v>
      </c>
      <c r="D146" s="1">
        <f t="shared" si="8"/>
        <v>-1.4157999999999999</v>
      </c>
      <c r="E146" s="44">
        <f t="shared" si="11"/>
        <v>-1</v>
      </c>
      <c r="F146" t="str">
        <f t="shared" si="9"/>
        <v xml:space="preserve"> </v>
      </c>
    </row>
    <row r="147" spans="2:6" ht="15" thickBot="1" x14ac:dyDescent="0.4">
      <c r="B147">
        <v>145</v>
      </c>
      <c r="C147">
        <f t="shared" si="10"/>
        <v>18.110000000000003</v>
      </c>
      <c r="D147" s="1">
        <f t="shared" si="8"/>
        <v>-1.5013000000000001</v>
      </c>
      <c r="E147" s="44">
        <f t="shared" si="11"/>
        <v>-1</v>
      </c>
      <c r="F147" t="str">
        <f t="shared" si="9"/>
        <v xml:space="preserve"> </v>
      </c>
    </row>
    <row r="148" spans="2:6" ht="15" thickBot="1" x14ac:dyDescent="0.4">
      <c r="B148">
        <v>146</v>
      </c>
      <c r="C148">
        <f t="shared" si="10"/>
        <v>18.228000000000002</v>
      </c>
      <c r="D148" s="1">
        <f t="shared" si="8"/>
        <v>-1.5373000000000001</v>
      </c>
      <c r="E148" s="46">
        <f t="shared" si="11"/>
        <v>-1</v>
      </c>
      <c r="F148" t="str">
        <f t="shared" si="9"/>
        <v xml:space="preserve"> </v>
      </c>
    </row>
    <row r="149" spans="2:6" x14ac:dyDescent="0.35">
      <c r="B149">
        <v>147</v>
      </c>
      <c r="C149">
        <f t="shared" si="10"/>
        <v>18.346</v>
      </c>
      <c r="D149" s="1">
        <f t="shared" si="8"/>
        <v>-1.5230999999999999</v>
      </c>
      <c r="E149" s="44">
        <f t="shared" si="11"/>
        <v>1</v>
      </c>
      <c r="F149" t="str">
        <f t="shared" si="9"/>
        <v xml:space="preserve"> </v>
      </c>
    </row>
    <row r="150" spans="2:6" x14ac:dyDescent="0.35">
      <c r="B150">
        <v>148</v>
      </c>
      <c r="C150">
        <f t="shared" si="10"/>
        <v>18.463999999999999</v>
      </c>
      <c r="D150" s="1">
        <f t="shared" si="8"/>
        <v>-1.4590000000000001</v>
      </c>
      <c r="E150" s="44">
        <f t="shared" si="11"/>
        <v>1</v>
      </c>
      <c r="F150" t="str">
        <f t="shared" si="9"/>
        <v xml:space="preserve"> </v>
      </c>
    </row>
    <row r="151" spans="2:6" x14ac:dyDescent="0.35">
      <c r="B151">
        <v>149</v>
      </c>
      <c r="C151">
        <f t="shared" si="10"/>
        <v>18.581999999999997</v>
      </c>
      <c r="D151" s="1">
        <f t="shared" si="8"/>
        <v>-1.3458000000000001</v>
      </c>
      <c r="E151" s="44">
        <f t="shared" si="11"/>
        <v>1</v>
      </c>
      <c r="F151" t="str">
        <f t="shared" si="9"/>
        <v xml:space="preserve"> </v>
      </c>
    </row>
    <row r="152" spans="2:6" x14ac:dyDescent="0.35">
      <c r="B152">
        <v>150</v>
      </c>
      <c r="C152">
        <f t="shared" si="10"/>
        <v>18.699999999999996</v>
      </c>
      <c r="D152" s="1">
        <f t="shared" si="8"/>
        <v>-1.1850000000000001</v>
      </c>
      <c r="E152" s="44">
        <f t="shared" si="11"/>
        <v>1</v>
      </c>
      <c r="F152" t="str">
        <f t="shared" si="9"/>
        <v xml:space="preserve"> </v>
      </c>
    </row>
    <row r="153" spans="2:6" x14ac:dyDescent="0.35">
      <c r="B153">
        <v>151</v>
      </c>
      <c r="C153">
        <f t="shared" si="10"/>
        <v>18.817999999999994</v>
      </c>
      <c r="D153" s="1">
        <f t="shared" si="8"/>
        <v>-0.9788</v>
      </c>
      <c r="E153" s="44">
        <f t="shared" si="11"/>
        <v>1</v>
      </c>
      <c r="F153" t="str">
        <f t="shared" si="9"/>
        <v xml:space="preserve"> </v>
      </c>
    </row>
    <row r="154" spans="2:6" x14ac:dyDescent="0.35">
      <c r="B154">
        <v>152</v>
      </c>
      <c r="C154">
        <f t="shared" si="10"/>
        <v>18.935999999999993</v>
      </c>
      <c r="D154" s="1">
        <f t="shared" si="8"/>
        <v>-0.73009999999999997</v>
      </c>
      <c r="E154" s="44">
        <f t="shared" si="11"/>
        <v>1</v>
      </c>
      <c r="F154" t="str">
        <f t="shared" si="9"/>
        <v xml:space="preserve"> </v>
      </c>
    </row>
    <row r="155" spans="2:6" x14ac:dyDescent="0.35">
      <c r="B155">
        <v>153</v>
      </c>
      <c r="C155">
        <f t="shared" si="10"/>
        <v>19.053999999999991</v>
      </c>
      <c r="D155" s="1">
        <f t="shared" si="8"/>
        <v>-0.44219999999999998</v>
      </c>
      <c r="E155" s="44">
        <f t="shared" si="11"/>
        <v>1</v>
      </c>
      <c r="F155" t="str">
        <f t="shared" si="9"/>
        <v xml:space="preserve"> </v>
      </c>
    </row>
    <row r="156" spans="2:6" x14ac:dyDescent="0.35">
      <c r="B156">
        <v>154</v>
      </c>
      <c r="C156">
        <f t="shared" si="10"/>
        <v>19.17199999999999</v>
      </c>
      <c r="D156" s="1">
        <f t="shared" si="8"/>
        <v>-0.1191</v>
      </c>
      <c r="E156" s="44">
        <f t="shared" si="11"/>
        <v>1</v>
      </c>
      <c r="F156" t="str">
        <f t="shared" si="9"/>
        <v xml:space="preserve"> </v>
      </c>
    </row>
    <row r="157" spans="2:6" x14ac:dyDescent="0.35">
      <c r="B157">
        <v>155</v>
      </c>
      <c r="C157">
        <f t="shared" si="10"/>
        <v>19.289999999999988</v>
      </c>
      <c r="D157" s="1">
        <f t="shared" si="8"/>
        <v>0.23469999999999999</v>
      </c>
      <c r="E157" s="44">
        <f t="shared" si="11"/>
        <v>1</v>
      </c>
      <c r="F157" t="str">
        <f t="shared" si="9"/>
        <v xml:space="preserve"> </v>
      </c>
    </row>
    <row r="158" spans="2:6" x14ac:dyDescent="0.35">
      <c r="B158">
        <v>156</v>
      </c>
      <c r="C158">
        <f t="shared" si="10"/>
        <v>19.407999999999987</v>
      </c>
      <c r="D158" s="1">
        <f t="shared" si="8"/>
        <v>0.61439999999999995</v>
      </c>
      <c r="E158" s="44">
        <f t="shared" si="11"/>
        <v>1</v>
      </c>
      <c r="F158" t="str">
        <f t="shared" si="9"/>
        <v xml:space="preserve"> </v>
      </c>
    </row>
    <row r="159" spans="2:6" x14ac:dyDescent="0.35">
      <c r="B159">
        <v>157</v>
      </c>
      <c r="C159">
        <f t="shared" si="10"/>
        <v>19.525999999999986</v>
      </c>
      <c r="D159" s="1">
        <f t="shared" si="8"/>
        <v>1.0146999999999999</v>
      </c>
      <c r="E159" s="44">
        <f t="shared" si="11"/>
        <v>1</v>
      </c>
      <c r="F159" t="str">
        <f t="shared" si="9"/>
        <v xml:space="preserve"> </v>
      </c>
    </row>
    <row r="160" spans="2:6" x14ac:dyDescent="0.35">
      <c r="B160">
        <v>158</v>
      </c>
      <c r="C160">
        <f t="shared" si="10"/>
        <v>19.643999999999984</v>
      </c>
      <c r="D160" s="1">
        <f t="shared" si="8"/>
        <v>1.4301999999999999</v>
      </c>
      <c r="E160" s="44">
        <f t="shared" si="11"/>
        <v>1</v>
      </c>
      <c r="F160" t="str">
        <f t="shared" si="9"/>
        <v xml:space="preserve"> </v>
      </c>
    </row>
    <row r="161" spans="2:6" x14ac:dyDescent="0.35">
      <c r="B161">
        <v>159</v>
      </c>
      <c r="C161">
        <f t="shared" si="10"/>
        <v>19.761999999999983</v>
      </c>
      <c r="D161" s="1">
        <f t="shared" si="8"/>
        <v>1.855</v>
      </c>
      <c r="E161" s="44">
        <f t="shared" si="11"/>
        <v>1</v>
      </c>
      <c r="F161" t="str">
        <f t="shared" si="9"/>
        <v xml:space="preserve"> </v>
      </c>
    </row>
    <row r="162" spans="2:6" x14ac:dyDescent="0.35">
      <c r="B162">
        <v>160</v>
      </c>
      <c r="C162">
        <f t="shared" si="10"/>
        <v>19.879999999999981</v>
      </c>
      <c r="D162" s="1">
        <f t="shared" si="8"/>
        <v>2.2833000000000001</v>
      </c>
      <c r="E162" s="44">
        <f t="shared" si="11"/>
        <v>1</v>
      </c>
      <c r="F162" t="str">
        <f t="shared" si="9"/>
        <v xml:space="preserve"> </v>
      </c>
    </row>
    <row r="163" spans="2:6" x14ac:dyDescent="0.35">
      <c r="B163">
        <v>161</v>
      </c>
      <c r="C163">
        <f t="shared" si="10"/>
        <v>19.99799999999998</v>
      </c>
      <c r="D163" s="1">
        <f t="shared" si="8"/>
        <v>2.7092000000000001</v>
      </c>
      <c r="E163" s="44">
        <f t="shared" si="11"/>
        <v>1</v>
      </c>
      <c r="F163">
        <f t="shared" si="9"/>
        <v>1</v>
      </c>
    </row>
    <row r="164" spans="2:6" x14ac:dyDescent="0.35">
      <c r="B164">
        <v>162</v>
      </c>
      <c r="C164">
        <f t="shared" si="10"/>
        <v>20.115999999999978</v>
      </c>
      <c r="D164" s="1">
        <f t="shared" si="8"/>
        <v>3.1269</v>
      </c>
      <c r="E164" s="44">
        <f t="shared" si="11"/>
        <v>1</v>
      </c>
      <c r="F164" t="str">
        <f t="shared" si="9"/>
        <v xml:space="preserve"> </v>
      </c>
    </row>
    <row r="165" spans="2:6" x14ac:dyDescent="0.35">
      <c r="B165">
        <v>163</v>
      </c>
      <c r="C165">
        <f t="shared" si="10"/>
        <v>20.233999999999977</v>
      </c>
      <c r="D165" s="1">
        <f t="shared" si="8"/>
        <v>3.5304000000000002</v>
      </c>
      <c r="E165" s="44">
        <f t="shared" si="11"/>
        <v>1</v>
      </c>
      <c r="F165" t="str">
        <f t="shared" si="9"/>
        <v xml:space="preserve"> </v>
      </c>
    </row>
    <row r="166" spans="2:6" x14ac:dyDescent="0.35">
      <c r="B166">
        <v>164</v>
      </c>
      <c r="C166">
        <f t="shared" si="10"/>
        <v>20.351999999999975</v>
      </c>
      <c r="D166" s="1">
        <f t="shared" si="8"/>
        <v>3.9144000000000001</v>
      </c>
      <c r="E166" s="44">
        <f t="shared" si="11"/>
        <v>1</v>
      </c>
      <c r="F166" t="str">
        <f t="shared" si="9"/>
        <v xml:space="preserve"> </v>
      </c>
    </row>
    <row r="167" spans="2:6" x14ac:dyDescent="0.35">
      <c r="B167">
        <v>165</v>
      </c>
      <c r="C167">
        <f t="shared" si="10"/>
        <v>20.469999999999974</v>
      </c>
      <c r="D167" s="1">
        <f t="shared" si="8"/>
        <v>4.2735000000000003</v>
      </c>
      <c r="E167" s="44">
        <f t="shared" si="11"/>
        <v>1</v>
      </c>
      <c r="F167" t="str">
        <f t="shared" si="9"/>
        <v xml:space="preserve"> </v>
      </c>
    </row>
    <row r="168" spans="2:6" x14ac:dyDescent="0.35">
      <c r="B168">
        <v>166</v>
      </c>
      <c r="C168">
        <f t="shared" si="10"/>
        <v>20.587999999999973</v>
      </c>
      <c r="D168" s="1">
        <f t="shared" si="8"/>
        <v>4.6026999999999996</v>
      </c>
      <c r="E168" s="44">
        <f t="shared" si="11"/>
        <v>1</v>
      </c>
      <c r="F168" t="str">
        <f t="shared" si="9"/>
        <v xml:space="preserve"> </v>
      </c>
    </row>
    <row r="169" spans="2:6" x14ac:dyDescent="0.35">
      <c r="B169">
        <v>167</v>
      </c>
      <c r="C169">
        <f t="shared" si="10"/>
        <v>20.705999999999971</v>
      </c>
      <c r="D169" s="1">
        <f t="shared" si="8"/>
        <v>4.8975</v>
      </c>
      <c r="E169" s="44">
        <f t="shared" si="11"/>
        <v>1</v>
      </c>
      <c r="F169" t="str">
        <f t="shared" si="9"/>
        <v xml:space="preserve"> </v>
      </c>
    </row>
    <row r="170" spans="2:6" x14ac:dyDescent="0.35">
      <c r="B170">
        <v>168</v>
      </c>
      <c r="C170">
        <f t="shared" si="10"/>
        <v>20.82399999999997</v>
      </c>
      <c r="D170" s="1">
        <f t="shared" si="8"/>
        <v>5.1538000000000004</v>
      </c>
      <c r="E170" s="44">
        <f t="shared" si="11"/>
        <v>1</v>
      </c>
      <c r="F170" t="str">
        <f t="shared" si="9"/>
        <v xml:space="preserve"> </v>
      </c>
    </row>
    <row r="171" spans="2:6" x14ac:dyDescent="0.35">
      <c r="B171">
        <v>169</v>
      </c>
      <c r="C171">
        <f t="shared" si="10"/>
        <v>20.941999999999968</v>
      </c>
      <c r="D171" s="1">
        <f t="shared" si="8"/>
        <v>5.3681000000000001</v>
      </c>
      <c r="E171" s="44">
        <f t="shared" si="11"/>
        <v>1</v>
      </c>
      <c r="F171" t="str">
        <f t="shared" si="9"/>
        <v xml:space="preserve"> </v>
      </c>
    </row>
    <row r="172" spans="2:6" x14ac:dyDescent="0.35">
      <c r="B172">
        <v>170</v>
      </c>
      <c r="C172">
        <f t="shared" si="10"/>
        <v>21.059999999999967</v>
      </c>
      <c r="D172" s="1">
        <f t="shared" si="8"/>
        <v>5.5376000000000003</v>
      </c>
      <c r="E172" s="44">
        <f t="shared" si="11"/>
        <v>1</v>
      </c>
      <c r="F172" t="str">
        <f t="shared" si="9"/>
        <v xml:space="preserve"> </v>
      </c>
    </row>
    <row r="173" spans="2:6" x14ac:dyDescent="0.35">
      <c r="B173">
        <v>171</v>
      </c>
      <c r="C173">
        <f t="shared" si="10"/>
        <v>21.177999999999965</v>
      </c>
      <c r="D173" s="1">
        <f t="shared" si="8"/>
        <v>5.6597999999999997</v>
      </c>
      <c r="E173" s="44">
        <f t="shared" si="11"/>
        <v>1</v>
      </c>
      <c r="F173" t="str">
        <f t="shared" si="9"/>
        <v xml:space="preserve"> </v>
      </c>
    </row>
    <row r="174" spans="2:6" ht="15" thickBot="1" x14ac:dyDescent="0.4">
      <c r="B174">
        <v>172</v>
      </c>
      <c r="C174">
        <f t="shared" si="10"/>
        <v>21.295999999999964</v>
      </c>
      <c r="D174" s="1">
        <f t="shared" si="8"/>
        <v>5.7331000000000003</v>
      </c>
      <c r="E174" s="44">
        <f t="shared" si="11"/>
        <v>1</v>
      </c>
      <c r="F174" t="str">
        <f t="shared" si="9"/>
        <v xml:space="preserve"> </v>
      </c>
    </row>
    <row r="175" spans="2:6" ht="15" thickBot="1" x14ac:dyDescent="0.4">
      <c r="B175">
        <v>173</v>
      </c>
      <c r="C175">
        <f t="shared" si="10"/>
        <v>21.413999999999962</v>
      </c>
      <c r="D175" s="1">
        <f t="shared" si="8"/>
        <v>5.7565</v>
      </c>
      <c r="E175" s="46">
        <f t="shared" si="11"/>
        <v>1</v>
      </c>
      <c r="F175" t="str">
        <f t="shared" si="9"/>
        <v xml:space="preserve"> </v>
      </c>
    </row>
    <row r="176" spans="2:6" x14ac:dyDescent="0.35">
      <c r="B176">
        <v>174</v>
      </c>
      <c r="C176">
        <f t="shared" si="10"/>
        <v>21.531999999999961</v>
      </c>
      <c r="D176" s="1">
        <f t="shared" si="8"/>
        <v>5.7298</v>
      </c>
      <c r="E176" s="44">
        <f t="shared" si="11"/>
        <v>-1</v>
      </c>
      <c r="F176" t="str">
        <f t="shared" si="9"/>
        <v xml:space="preserve"> </v>
      </c>
    </row>
    <row r="177" spans="2:6" x14ac:dyDescent="0.35">
      <c r="B177">
        <v>175</v>
      </c>
      <c r="C177">
        <f t="shared" si="10"/>
        <v>21.649999999999959</v>
      </c>
      <c r="D177" s="1">
        <f t="shared" si="8"/>
        <v>5.6532999999999998</v>
      </c>
      <c r="E177" s="44">
        <f t="shared" si="11"/>
        <v>-1</v>
      </c>
      <c r="F177" t="str">
        <f t="shared" si="9"/>
        <v xml:space="preserve"> </v>
      </c>
    </row>
    <row r="178" spans="2:6" x14ac:dyDescent="0.35">
      <c r="B178">
        <v>176</v>
      </c>
      <c r="C178">
        <f t="shared" si="10"/>
        <v>21.767999999999958</v>
      </c>
      <c r="D178" s="1">
        <f t="shared" si="8"/>
        <v>5.5282</v>
      </c>
      <c r="E178" s="44">
        <f t="shared" si="11"/>
        <v>-1</v>
      </c>
      <c r="F178" t="str">
        <f t="shared" si="9"/>
        <v xml:space="preserve"> </v>
      </c>
    </row>
    <row r="179" spans="2:6" x14ac:dyDescent="0.35">
      <c r="B179">
        <v>177</v>
      </c>
      <c r="C179">
        <f t="shared" si="10"/>
        <v>21.885999999999957</v>
      </c>
      <c r="D179" s="1">
        <f t="shared" si="8"/>
        <v>5.3563000000000001</v>
      </c>
      <c r="E179" s="44">
        <f t="shared" si="11"/>
        <v>-1</v>
      </c>
      <c r="F179" t="str">
        <f t="shared" si="9"/>
        <v xml:space="preserve"> </v>
      </c>
    </row>
    <row r="180" spans="2:6" x14ac:dyDescent="0.35">
      <c r="B180">
        <v>178</v>
      </c>
      <c r="C180">
        <f t="shared" si="10"/>
        <v>22.003999999999955</v>
      </c>
      <c r="D180" s="1">
        <f t="shared" si="8"/>
        <v>5.1398999999999999</v>
      </c>
      <c r="E180" s="44">
        <f t="shared" si="11"/>
        <v>-1</v>
      </c>
      <c r="F180" t="str">
        <f t="shared" si="9"/>
        <v xml:space="preserve"> </v>
      </c>
    </row>
    <row r="181" spans="2:6" x14ac:dyDescent="0.35">
      <c r="B181">
        <v>179</v>
      </c>
      <c r="C181">
        <f t="shared" si="10"/>
        <v>22.121999999999954</v>
      </c>
      <c r="D181" s="1">
        <f t="shared" si="8"/>
        <v>4.8821000000000003</v>
      </c>
      <c r="E181" s="44">
        <f t="shared" si="11"/>
        <v>-1</v>
      </c>
      <c r="F181" t="str">
        <f t="shared" si="9"/>
        <v xml:space="preserve"> </v>
      </c>
    </row>
    <row r="182" spans="2:6" x14ac:dyDescent="0.35">
      <c r="B182">
        <v>180</v>
      </c>
      <c r="C182">
        <f t="shared" si="10"/>
        <v>22.239999999999952</v>
      </c>
      <c r="D182" s="1">
        <f t="shared" si="8"/>
        <v>4.5865999999999998</v>
      </c>
      <c r="E182" s="44">
        <f t="shared" si="11"/>
        <v>-1</v>
      </c>
      <c r="F182" t="str">
        <f t="shared" si="9"/>
        <v xml:space="preserve"> </v>
      </c>
    </row>
    <row r="183" spans="2:6" x14ac:dyDescent="0.35">
      <c r="B183">
        <v>181</v>
      </c>
      <c r="C183">
        <f t="shared" si="10"/>
        <v>22.357999999999951</v>
      </c>
      <c r="D183" s="1">
        <f t="shared" si="8"/>
        <v>4.2575000000000003</v>
      </c>
      <c r="E183" s="44">
        <f t="shared" si="11"/>
        <v>-1</v>
      </c>
      <c r="F183" t="str">
        <f t="shared" si="9"/>
        <v xml:space="preserve"> </v>
      </c>
    </row>
    <row r="184" spans="2:6" x14ac:dyDescent="0.35">
      <c r="B184">
        <v>182</v>
      </c>
      <c r="C184">
        <f t="shared" si="10"/>
        <v>22.475999999999949</v>
      </c>
      <c r="D184" s="1">
        <f t="shared" si="8"/>
        <v>3.8994</v>
      </c>
      <c r="E184" s="44">
        <f t="shared" si="11"/>
        <v>-1</v>
      </c>
      <c r="F184" t="str">
        <f t="shared" si="9"/>
        <v xml:space="preserve"> </v>
      </c>
    </row>
    <row r="185" spans="2:6" x14ac:dyDescent="0.35">
      <c r="B185">
        <v>183</v>
      </c>
      <c r="C185">
        <f t="shared" si="10"/>
        <v>22.593999999999948</v>
      </c>
      <c r="D185" s="1">
        <f t="shared" si="8"/>
        <v>3.5173999999999999</v>
      </c>
      <c r="E185" s="44">
        <f t="shared" si="11"/>
        <v>-1</v>
      </c>
      <c r="F185" t="str">
        <f t="shared" si="9"/>
        <v xml:space="preserve"> </v>
      </c>
    </row>
    <row r="186" spans="2:6" x14ac:dyDescent="0.35">
      <c r="B186">
        <v>184</v>
      </c>
      <c r="C186">
        <f t="shared" si="10"/>
        <v>22.711999999999946</v>
      </c>
      <c r="D186" s="1">
        <f t="shared" si="8"/>
        <v>3.1166999999999998</v>
      </c>
      <c r="E186" s="44">
        <f t="shared" si="11"/>
        <v>-1</v>
      </c>
      <c r="F186">
        <f t="shared" si="9"/>
        <v>1</v>
      </c>
    </row>
    <row r="187" spans="2:6" x14ac:dyDescent="0.35">
      <c r="B187">
        <v>185</v>
      </c>
      <c r="C187">
        <f t="shared" si="10"/>
        <v>22.829999999999945</v>
      </c>
      <c r="D187" s="1">
        <f t="shared" si="8"/>
        <v>2.7031000000000001</v>
      </c>
      <c r="E187" s="44">
        <f t="shared" si="11"/>
        <v>-1</v>
      </c>
      <c r="F187" t="str">
        <f t="shared" si="9"/>
        <v xml:space="preserve"> </v>
      </c>
    </row>
    <row r="188" spans="2:6" x14ac:dyDescent="0.35">
      <c r="B188">
        <v>186</v>
      </c>
      <c r="C188">
        <f t="shared" si="10"/>
        <v>22.947999999999944</v>
      </c>
      <c r="D188" s="1">
        <f t="shared" si="8"/>
        <v>2.2822</v>
      </c>
      <c r="E188" s="44">
        <f t="shared" si="11"/>
        <v>-1</v>
      </c>
      <c r="F188" t="str">
        <f t="shared" si="9"/>
        <v xml:space="preserve"> </v>
      </c>
    </row>
    <row r="189" spans="2:6" x14ac:dyDescent="0.35">
      <c r="B189">
        <v>187</v>
      </c>
      <c r="C189">
        <f t="shared" si="10"/>
        <v>23.065999999999942</v>
      </c>
      <c r="D189" s="1">
        <f t="shared" si="8"/>
        <v>1.8601000000000001</v>
      </c>
      <c r="E189" s="44">
        <f t="shared" si="11"/>
        <v>-1</v>
      </c>
      <c r="F189" t="str">
        <f t="shared" si="9"/>
        <v xml:space="preserve"> </v>
      </c>
    </row>
    <row r="190" spans="2:6" x14ac:dyDescent="0.35">
      <c r="B190">
        <v>188</v>
      </c>
      <c r="C190">
        <f t="shared" si="10"/>
        <v>23.183999999999941</v>
      </c>
      <c r="D190" s="1">
        <f t="shared" si="8"/>
        <v>1.4424999999999999</v>
      </c>
      <c r="E190" s="44">
        <f t="shared" si="11"/>
        <v>-1</v>
      </c>
      <c r="F190" t="str">
        <f t="shared" si="9"/>
        <v xml:space="preserve"> </v>
      </c>
    </row>
    <row r="191" spans="2:6" x14ac:dyDescent="0.35">
      <c r="B191">
        <v>189</v>
      </c>
      <c r="C191">
        <f t="shared" si="10"/>
        <v>23.301999999999939</v>
      </c>
      <c r="D191" s="1">
        <f t="shared" si="8"/>
        <v>1.0354000000000001</v>
      </c>
      <c r="E191" s="44">
        <f t="shared" si="11"/>
        <v>-1</v>
      </c>
      <c r="F191" t="str">
        <f t="shared" si="9"/>
        <v xml:space="preserve"> </v>
      </c>
    </row>
    <row r="192" spans="2:6" x14ac:dyDescent="0.35">
      <c r="B192">
        <v>190</v>
      </c>
      <c r="C192">
        <f t="shared" si="10"/>
        <v>23.419999999999938</v>
      </c>
      <c r="D192" s="1">
        <f t="shared" si="8"/>
        <v>0.64439999999999997</v>
      </c>
      <c r="E192" s="44">
        <f t="shared" si="11"/>
        <v>-1</v>
      </c>
      <c r="F192" t="str">
        <f t="shared" si="9"/>
        <v xml:space="preserve"> </v>
      </c>
    </row>
    <row r="193" spans="2:6" x14ac:dyDescent="0.35">
      <c r="B193">
        <v>191</v>
      </c>
      <c r="C193">
        <f t="shared" si="10"/>
        <v>23.537999999999936</v>
      </c>
      <c r="D193" s="1">
        <f t="shared" si="8"/>
        <v>0.27500000000000002</v>
      </c>
      <c r="E193" s="44">
        <f t="shared" si="11"/>
        <v>-1</v>
      </c>
      <c r="F193" t="str">
        <f t="shared" si="9"/>
        <v xml:space="preserve"> </v>
      </c>
    </row>
    <row r="194" spans="2:6" x14ac:dyDescent="0.35">
      <c r="B194">
        <v>192</v>
      </c>
      <c r="C194">
        <f t="shared" si="10"/>
        <v>23.655999999999935</v>
      </c>
      <c r="D194" s="1">
        <f t="shared" ref="D194:D202" si="12">ROUND(POWER(C194,1/4)+2*SIN(C194)-3*COS(C194),4)</f>
        <v>-6.7500000000000004E-2</v>
      </c>
      <c r="E194" s="44">
        <f t="shared" si="11"/>
        <v>-1</v>
      </c>
      <c r="F194" t="str">
        <f t="shared" si="9"/>
        <v xml:space="preserve"> </v>
      </c>
    </row>
    <row r="195" spans="2:6" x14ac:dyDescent="0.35">
      <c r="B195">
        <v>193</v>
      </c>
      <c r="C195">
        <f t="shared" si="10"/>
        <v>23.773999999999933</v>
      </c>
      <c r="D195" s="1">
        <f t="shared" si="12"/>
        <v>-0.3785</v>
      </c>
      <c r="E195" s="44">
        <f t="shared" si="11"/>
        <v>-1</v>
      </c>
      <c r="F195" t="str">
        <f t="shared" ref="F195:F202" si="13">IF((D195-$F$1)*(D196-$F$1)&lt;0,1," ")</f>
        <v xml:space="preserve"> </v>
      </c>
    </row>
    <row r="196" spans="2:6" x14ac:dyDescent="0.35">
      <c r="B196">
        <v>194</v>
      </c>
      <c r="C196">
        <f t="shared" ref="C196:C202" si="14">C195+$C$1</f>
        <v>23.891999999999932</v>
      </c>
      <c r="D196" s="1">
        <f t="shared" si="12"/>
        <v>-0.65349999999999997</v>
      </c>
      <c r="E196" s="44">
        <f t="shared" ref="E196:E202" si="15">IF(D196-D195&gt;0,1,-1)</f>
        <v>-1</v>
      </c>
      <c r="F196" t="str">
        <f t="shared" si="13"/>
        <v xml:space="preserve"> </v>
      </c>
    </row>
    <row r="197" spans="2:6" x14ac:dyDescent="0.35">
      <c r="B197">
        <v>195</v>
      </c>
      <c r="C197">
        <f t="shared" si="14"/>
        <v>24.009999999999931</v>
      </c>
      <c r="D197" s="1">
        <f t="shared" si="12"/>
        <v>-0.88859999999999995</v>
      </c>
      <c r="E197" s="44">
        <f t="shared" si="15"/>
        <v>-1</v>
      </c>
      <c r="F197" t="str">
        <f t="shared" si="13"/>
        <v xml:space="preserve"> </v>
      </c>
    </row>
    <row r="198" spans="2:6" x14ac:dyDescent="0.35">
      <c r="B198">
        <v>196</v>
      </c>
      <c r="C198">
        <f t="shared" si="14"/>
        <v>24.127999999999929</v>
      </c>
      <c r="D198" s="1">
        <f t="shared" si="12"/>
        <v>-1.0807</v>
      </c>
      <c r="E198" s="44">
        <f t="shared" si="15"/>
        <v>-1</v>
      </c>
      <c r="F198" t="str">
        <f t="shared" si="13"/>
        <v xml:space="preserve"> </v>
      </c>
    </row>
    <row r="199" spans="2:6" x14ac:dyDescent="0.35">
      <c r="B199">
        <v>197</v>
      </c>
      <c r="C199">
        <f t="shared" si="14"/>
        <v>24.245999999999928</v>
      </c>
      <c r="D199" s="1">
        <f t="shared" si="12"/>
        <v>-1.2267999999999999</v>
      </c>
      <c r="E199" s="44">
        <f t="shared" si="15"/>
        <v>-1</v>
      </c>
      <c r="F199" t="str">
        <f t="shared" si="13"/>
        <v xml:space="preserve"> </v>
      </c>
    </row>
    <row r="200" spans="2:6" ht="15" thickBot="1" x14ac:dyDescent="0.4">
      <c r="B200">
        <v>198</v>
      </c>
      <c r="C200">
        <f t="shared" si="14"/>
        <v>24.363999999999926</v>
      </c>
      <c r="D200" s="1">
        <f t="shared" si="12"/>
        <v>-1.3250999999999999</v>
      </c>
      <c r="E200" s="44">
        <f t="shared" si="15"/>
        <v>-1</v>
      </c>
      <c r="F200" t="str">
        <f t="shared" si="13"/>
        <v xml:space="preserve"> </v>
      </c>
    </row>
    <row r="201" spans="2:6" ht="15" thickBot="1" x14ac:dyDescent="0.4">
      <c r="B201">
        <v>199</v>
      </c>
      <c r="C201">
        <f t="shared" si="14"/>
        <v>24.481999999999925</v>
      </c>
      <c r="D201" s="1">
        <f t="shared" si="12"/>
        <v>-1.3741000000000001</v>
      </c>
      <c r="E201" s="46">
        <f t="shared" si="15"/>
        <v>-1</v>
      </c>
      <c r="F201" t="str">
        <f t="shared" si="13"/>
        <v xml:space="preserve"> </v>
      </c>
    </row>
    <row r="202" spans="2:6" ht="15" thickBot="1" x14ac:dyDescent="0.4">
      <c r="B202">
        <v>200</v>
      </c>
      <c r="C202">
        <f t="shared" si="14"/>
        <v>24.599999999999923</v>
      </c>
      <c r="D202" s="1">
        <f t="shared" si="12"/>
        <v>-1.373</v>
      </c>
      <c r="E202" s="45">
        <f t="shared" si="15"/>
        <v>1</v>
      </c>
      <c r="F202" t="str">
        <f t="shared" si="13"/>
        <v xml:space="preserve"> 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04C4-8B46-48C4-8A54-9A6B10091A0E}">
  <dimension ref="B1:Y202"/>
  <sheetViews>
    <sheetView tabSelected="1" topLeftCell="D18" workbookViewId="0">
      <selection activeCell="G6" sqref="G6"/>
    </sheetView>
  </sheetViews>
  <sheetFormatPr defaultRowHeight="14.5" x14ac:dyDescent="0.35"/>
  <cols>
    <col min="9" max="9" width="12.453125" bestFit="1" customWidth="1"/>
    <col min="10" max="11" width="12.08984375" bestFit="1" customWidth="1"/>
    <col min="12" max="12" width="12.453125" bestFit="1" customWidth="1"/>
    <col min="13" max="13" width="11.81640625" bestFit="1" customWidth="1"/>
    <col min="14" max="15" width="12" bestFit="1" customWidth="1"/>
    <col min="16" max="16" width="12.08984375" bestFit="1" customWidth="1"/>
    <col min="17" max="17" width="12.54296875" bestFit="1" customWidth="1"/>
    <col min="19" max="19" width="10.81640625" customWidth="1"/>
    <col min="20" max="20" width="12.453125" bestFit="1" customWidth="1"/>
    <col min="22" max="22" width="12" bestFit="1" customWidth="1"/>
    <col min="23" max="24" width="12.453125" bestFit="1" customWidth="1"/>
    <col min="25" max="25" width="12" bestFit="1" customWidth="1"/>
  </cols>
  <sheetData>
    <row r="1" spans="2:25" x14ac:dyDescent="0.35">
      <c r="B1" t="s">
        <v>30</v>
      </c>
      <c r="C1">
        <v>0.11799999999999999</v>
      </c>
      <c r="D1" t="s">
        <v>29</v>
      </c>
      <c r="E1" s="35">
        <v>15.237</v>
      </c>
      <c r="F1" s="35">
        <f>(E1-C2)/C1</f>
        <v>120.65254237288136</v>
      </c>
      <c r="I1" t="s">
        <v>27</v>
      </c>
      <c r="J1" t="s">
        <v>22</v>
      </c>
      <c r="K1" t="s">
        <v>26</v>
      </c>
      <c r="L1" t="s">
        <v>21</v>
      </c>
      <c r="M1" t="s">
        <v>25</v>
      </c>
      <c r="N1" t="s">
        <v>20</v>
      </c>
      <c r="O1" t="s">
        <v>24</v>
      </c>
      <c r="P1" t="s">
        <v>19</v>
      </c>
      <c r="Q1" t="s">
        <v>23</v>
      </c>
    </row>
    <row r="2" spans="2:25" ht="15" thickBot="1" x14ac:dyDescent="0.4">
      <c r="B2">
        <v>0</v>
      </c>
      <c r="C2">
        <v>1</v>
      </c>
      <c r="D2" s="1">
        <f t="shared" ref="D2:D65" si="0">ROUND(POWER(C2,1/4)+2*SIN(C2)-3*COS(C2),4)</f>
        <v>1.0620000000000001</v>
      </c>
      <c r="F2">
        <v>9</v>
      </c>
      <c r="G2">
        <f>ROUND(F1-F2/2,0.5)</f>
        <v>116</v>
      </c>
      <c r="H2">
        <f t="shared" ref="H2:H10" si="1">VLOOKUP(G2,B2:D202,2)</f>
        <v>14.688000000000025</v>
      </c>
      <c r="I2" s="1">
        <f t="shared" ref="I2:I10" si="2">VLOOKUP(G2,B2:D202,3)</f>
        <v>5.2320000000000002</v>
      </c>
      <c r="J2" s="26"/>
      <c r="K2" s="26"/>
      <c r="L2" s="26"/>
      <c r="M2" s="26"/>
      <c r="N2" s="26"/>
      <c r="O2" s="26"/>
      <c r="P2" s="26"/>
      <c r="S2" s="34" t="s">
        <v>28</v>
      </c>
      <c r="T2" s="2" t="s">
        <v>17</v>
      </c>
      <c r="U2" t="s">
        <v>27</v>
      </c>
      <c r="V2" t="s">
        <v>26</v>
      </c>
      <c r="W2" t="s">
        <v>25</v>
      </c>
      <c r="X2" t="s">
        <v>24</v>
      </c>
      <c r="Y2" t="s">
        <v>23</v>
      </c>
    </row>
    <row r="3" spans="2:25" ht="15" thickBot="1" x14ac:dyDescent="0.4">
      <c r="B3">
        <v>1</v>
      </c>
      <c r="C3">
        <f>B3+$C$1</f>
        <v>1.1179999999999999</v>
      </c>
      <c r="D3" s="1">
        <f t="shared" si="0"/>
        <v>1.5143</v>
      </c>
      <c r="G3">
        <v>117</v>
      </c>
      <c r="H3">
        <f t="shared" si="1"/>
        <v>14.806000000000026</v>
      </c>
      <c r="I3" s="1">
        <f t="shared" si="2"/>
        <v>5.3909000000000002</v>
      </c>
      <c r="J3" s="26">
        <f t="shared" ref="J3:J10" si="3">I3-I2</f>
        <v>0.15890000000000004</v>
      </c>
      <c r="K3" s="26"/>
      <c r="L3" s="26"/>
      <c r="M3" s="26"/>
      <c r="N3" s="26"/>
      <c r="O3" s="26"/>
      <c r="P3" s="26"/>
      <c r="U3" s="1">
        <f>I6</f>
        <v>5.5758999999999999</v>
      </c>
      <c r="V3" s="33">
        <f>K7</f>
        <v>-5.0099999999999589E-2</v>
      </c>
      <c r="W3" s="32">
        <f>M8</f>
        <v>4.9999999999883471E-4</v>
      </c>
      <c r="X3" s="32">
        <f>O9</f>
        <v>9.0000000000411973E-4</v>
      </c>
      <c r="Y3" s="31">
        <f>Q10</f>
        <v>-3.9000000000157797E-3</v>
      </c>
    </row>
    <row r="4" spans="2:25" x14ac:dyDescent="0.35">
      <c r="B4">
        <v>2</v>
      </c>
      <c r="C4">
        <f t="shared" ref="C4:C35" si="4">C3+$C$1</f>
        <v>1.2359999999999998</v>
      </c>
      <c r="D4" s="1">
        <f t="shared" si="0"/>
        <v>1.9576</v>
      </c>
      <c r="G4">
        <f t="shared" ref="G4:G10" si="5">G3+1</f>
        <v>118</v>
      </c>
      <c r="H4">
        <f t="shared" si="1"/>
        <v>14.924000000000026</v>
      </c>
      <c r="I4" s="1">
        <f t="shared" si="2"/>
        <v>5.5019999999999998</v>
      </c>
      <c r="J4" s="26">
        <f t="shared" si="3"/>
        <v>0.11109999999999953</v>
      </c>
      <c r="K4" s="26">
        <f t="shared" ref="K4:K10" si="6">J4-J3</f>
        <v>-4.7800000000000509E-2</v>
      </c>
      <c r="L4" s="26"/>
      <c r="M4" s="26"/>
      <c r="N4" s="26"/>
      <c r="O4" s="26"/>
      <c r="P4" s="26"/>
    </row>
    <row r="5" spans="2:25" ht="15" thickBot="1" x14ac:dyDescent="0.4">
      <c r="B5">
        <v>3</v>
      </c>
      <c r="C5">
        <f t="shared" si="4"/>
        <v>1.3539999999999996</v>
      </c>
      <c r="D5" s="1">
        <f t="shared" si="0"/>
        <v>2.3866000000000001</v>
      </c>
      <c r="G5">
        <f t="shared" si="5"/>
        <v>119</v>
      </c>
      <c r="H5">
        <f t="shared" si="1"/>
        <v>15.042000000000026</v>
      </c>
      <c r="I5" s="1">
        <f t="shared" si="2"/>
        <v>5.5640000000000001</v>
      </c>
      <c r="J5" s="26">
        <f t="shared" si="3"/>
        <v>6.2000000000000277E-2</v>
      </c>
      <c r="K5" s="26">
        <f t="shared" si="6"/>
        <v>-4.9099999999999255E-2</v>
      </c>
      <c r="L5" s="26">
        <f t="shared" ref="L5:L10" si="7">K5-K4</f>
        <v>-1.2999999999987466E-3</v>
      </c>
      <c r="M5" s="26"/>
      <c r="N5" s="26"/>
      <c r="O5" s="25"/>
      <c r="P5" s="26"/>
      <c r="U5" t="s">
        <v>22</v>
      </c>
      <c r="V5" t="s">
        <v>21</v>
      </c>
      <c r="W5" t="s">
        <v>20</v>
      </c>
      <c r="X5" t="s">
        <v>19</v>
      </c>
    </row>
    <row r="6" spans="2:25" ht="15" thickBot="1" x14ac:dyDescent="0.4">
      <c r="B6">
        <v>4</v>
      </c>
      <c r="C6">
        <f t="shared" si="4"/>
        <v>1.4719999999999995</v>
      </c>
      <c r="D6" s="1">
        <f t="shared" si="0"/>
        <v>2.7957999999999998</v>
      </c>
      <c r="G6">
        <f t="shared" si="5"/>
        <v>120</v>
      </c>
      <c r="H6" s="17">
        <f t="shared" si="1"/>
        <v>15.160000000000027</v>
      </c>
      <c r="I6" s="24">
        <f t="shared" si="2"/>
        <v>5.5758999999999999</v>
      </c>
      <c r="J6" s="12">
        <f t="shared" si="3"/>
        <v>1.18999999999998E-2</v>
      </c>
      <c r="K6" s="26">
        <f t="shared" si="6"/>
        <v>-5.0100000000000477E-2</v>
      </c>
      <c r="L6" s="26">
        <f t="shared" si="7"/>
        <v>-1.0000000000012221E-3</v>
      </c>
      <c r="M6" s="26">
        <f>L6-L5</f>
        <v>2.9999999999752447E-4</v>
      </c>
      <c r="N6" s="26"/>
      <c r="O6" s="25"/>
      <c r="P6" s="26"/>
      <c r="T6" s="2" t="s">
        <v>18</v>
      </c>
      <c r="U6" s="30">
        <f>(J6+J7)/2</f>
        <v>-1.3149999999999995E-2</v>
      </c>
      <c r="V6" s="20">
        <f>(L7+L8)/2</f>
        <v>2.5000000000030553E-4</v>
      </c>
      <c r="W6" s="20">
        <f>(N8+N9)/2</f>
        <v>-5.0000000001215739E-5</v>
      </c>
      <c r="X6" s="19">
        <f>(P9+P10)/2</f>
        <v>1.5000000000409131E-4</v>
      </c>
    </row>
    <row r="7" spans="2:25" ht="15" thickBot="1" x14ac:dyDescent="0.4">
      <c r="B7">
        <v>5</v>
      </c>
      <c r="C7">
        <f t="shared" si="4"/>
        <v>1.5899999999999994</v>
      </c>
      <c r="D7" s="1">
        <f t="shared" si="0"/>
        <v>3.1802000000000001</v>
      </c>
      <c r="G7">
        <f t="shared" si="5"/>
        <v>121</v>
      </c>
      <c r="H7">
        <f t="shared" si="1"/>
        <v>15.278000000000027</v>
      </c>
      <c r="I7" s="1">
        <f t="shared" si="2"/>
        <v>5.5377000000000001</v>
      </c>
      <c r="J7" s="23">
        <f t="shared" si="3"/>
        <v>-3.819999999999979E-2</v>
      </c>
      <c r="K7" s="23">
        <f t="shared" si="6"/>
        <v>-5.0099999999999589E-2</v>
      </c>
      <c r="L7" s="12">
        <f t="shared" si="7"/>
        <v>8.8817841970012523E-16</v>
      </c>
      <c r="M7" s="26">
        <f>L7-L6</f>
        <v>1.0000000000021103E-3</v>
      </c>
      <c r="N7" s="26">
        <f>M7-M6</f>
        <v>7.0000000000458584E-4</v>
      </c>
      <c r="O7" s="25"/>
      <c r="P7" s="26"/>
    </row>
    <row r="8" spans="2:25" ht="15" thickBot="1" x14ac:dyDescent="0.4">
      <c r="B8">
        <v>6</v>
      </c>
      <c r="C8">
        <f t="shared" si="4"/>
        <v>1.7079999999999993</v>
      </c>
      <c r="D8" s="1">
        <f t="shared" si="0"/>
        <v>3.5347</v>
      </c>
      <c r="G8">
        <f t="shared" si="5"/>
        <v>122</v>
      </c>
      <c r="H8">
        <f t="shared" si="1"/>
        <v>15.396000000000027</v>
      </c>
      <c r="I8" s="1">
        <f t="shared" si="2"/>
        <v>5.4499000000000004</v>
      </c>
      <c r="J8" s="26">
        <f t="shared" si="3"/>
        <v>-8.7799999999999656E-2</v>
      </c>
      <c r="K8" s="26">
        <f t="shared" si="6"/>
        <v>-4.9599999999999866E-2</v>
      </c>
      <c r="L8" s="23">
        <f t="shared" si="7"/>
        <v>4.9999999999972289E-4</v>
      </c>
      <c r="M8" s="23">
        <f>L8-L7</f>
        <v>4.9999999999883471E-4</v>
      </c>
      <c r="N8" s="12">
        <f>M8-M7</f>
        <v>-5.000000000032756E-4</v>
      </c>
      <c r="O8" s="25">
        <f>N8-N7</f>
        <v>-1.2000000000078614E-3</v>
      </c>
      <c r="P8" s="26"/>
      <c r="S8" t="s">
        <v>17</v>
      </c>
      <c r="T8" t="s">
        <v>15</v>
      </c>
      <c r="U8" s="29">
        <f>V3/2</f>
        <v>-2.5049999999999795E-2</v>
      </c>
      <c r="V8" s="28">
        <f>W3/(4*3*2)</f>
        <v>2.0833333333284781E-5</v>
      </c>
      <c r="W8" s="28">
        <f>X3/FACT(6)</f>
        <v>1.2500000000057218E-6</v>
      </c>
      <c r="X8" s="27">
        <f>Y3/FACT(8)</f>
        <v>-9.6726190476581833E-8</v>
      </c>
    </row>
    <row r="9" spans="2:25" ht="15" thickBot="1" x14ac:dyDescent="0.4">
      <c r="B9">
        <v>7</v>
      </c>
      <c r="C9">
        <f t="shared" si="4"/>
        <v>1.8259999999999992</v>
      </c>
      <c r="D9" s="1">
        <f t="shared" si="0"/>
        <v>3.855</v>
      </c>
      <c r="G9">
        <f t="shared" si="5"/>
        <v>123</v>
      </c>
      <c r="H9">
        <f t="shared" si="1"/>
        <v>15.514000000000028</v>
      </c>
      <c r="I9" s="1">
        <f t="shared" si="2"/>
        <v>5.3139000000000003</v>
      </c>
      <c r="J9" s="26">
        <f t="shared" si="3"/>
        <v>-0.13600000000000012</v>
      </c>
      <c r="K9" s="26">
        <f t="shared" si="6"/>
        <v>-4.8200000000000465E-2</v>
      </c>
      <c r="L9" s="26">
        <f t="shared" si="7"/>
        <v>1.3999999999994017E-3</v>
      </c>
      <c r="M9" s="26">
        <f>L9-L8</f>
        <v>8.9999999999967883E-4</v>
      </c>
      <c r="N9" s="23">
        <f>M9-M8</f>
        <v>4.0000000000084412E-4</v>
      </c>
      <c r="O9" s="23">
        <f>N9-N8</f>
        <v>9.0000000000411973E-4</v>
      </c>
      <c r="P9" s="12">
        <f>O9-O8</f>
        <v>2.1000000000119812E-3</v>
      </c>
      <c r="S9" t="s">
        <v>16</v>
      </c>
      <c r="T9" t="s">
        <v>15</v>
      </c>
      <c r="U9" s="29">
        <f>U6</f>
        <v>-1.3149999999999995E-2</v>
      </c>
      <c r="V9" s="28">
        <f>V6/3/2</f>
        <v>4.1666666666717589E-5</v>
      </c>
      <c r="W9" s="28">
        <f>W6/5/4/3/2</f>
        <v>-4.1666666667679787E-7</v>
      </c>
      <c r="X9" s="27">
        <f>X6/7/6/5/4/3/2</f>
        <v>2.9761904762716529E-8</v>
      </c>
    </row>
    <row r="10" spans="2:25" ht="15" thickBot="1" x14ac:dyDescent="0.4">
      <c r="B10">
        <v>8</v>
      </c>
      <c r="C10">
        <f t="shared" si="4"/>
        <v>1.9439999999999991</v>
      </c>
      <c r="D10" s="1">
        <f t="shared" si="0"/>
        <v>4.1368999999999998</v>
      </c>
      <c r="G10">
        <f t="shared" si="5"/>
        <v>124</v>
      </c>
      <c r="H10">
        <f t="shared" si="1"/>
        <v>15.632000000000028</v>
      </c>
      <c r="I10" s="1">
        <f t="shared" si="2"/>
        <v>5.1315</v>
      </c>
      <c r="J10" s="26">
        <f t="shared" si="3"/>
        <v>-0.18240000000000034</v>
      </c>
      <c r="K10" s="26">
        <f t="shared" si="6"/>
        <v>-4.6400000000000219E-2</v>
      </c>
      <c r="L10" s="26">
        <f t="shared" si="7"/>
        <v>1.8000000000002458E-3</v>
      </c>
      <c r="M10" s="26">
        <f>L10-L9</f>
        <v>4.0000000000084412E-4</v>
      </c>
      <c r="N10" s="26">
        <f>M10-M9</f>
        <v>-4.9999999999883471E-4</v>
      </c>
      <c r="O10" s="25">
        <f>N10-N9</f>
        <v>-8.9999999999967883E-4</v>
      </c>
      <c r="P10" s="23">
        <f>O10-O9</f>
        <v>-1.8000000000037986E-3</v>
      </c>
      <c r="Q10" s="23">
        <f>P10-P9</f>
        <v>-3.9000000000157797E-3</v>
      </c>
    </row>
    <row r="11" spans="2:25" ht="15" thickBot="1" x14ac:dyDescent="0.4">
      <c r="B11">
        <v>9</v>
      </c>
      <c r="C11">
        <f t="shared" si="4"/>
        <v>2.0619999999999989</v>
      </c>
      <c r="D11" s="1">
        <f t="shared" si="0"/>
        <v>4.3769</v>
      </c>
      <c r="F11" s="47" t="s">
        <v>2</v>
      </c>
      <c r="G11" s="47"/>
      <c r="H11" s="47"/>
      <c r="I11" s="24">
        <f>I6</f>
        <v>5.5758999999999999</v>
      </c>
      <c r="J11" s="24">
        <f>J7</f>
        <v>-3.819999999999979E-2</v>
      </c>
      <c r="K11" s="24">
        <f>K7</f>
        <v>-5.0099999999999589E-2</v>
      </c>
      <c r="L11" s="24">
        <f>L8</f>
        <v>4.9999999999972289E-4</v>
      </c>
      <c r="M11" s="24">
        <f>M8</f>
        <v>4.9999999999883471E-4</v>
      </c>
      <c r="N11" s="24">
        <f>N9</f>
        <v>4.0000000000084412E-4</v>
      </c>
      <c r="O11" s="24">
        <f>O9</f>
        <v>9.0000000000411973E-4</v>
      </c>
      <c r="P11" s="24">
        <f>P10</f>
        <v>-1.8000000000037986E-3</v>
      </c>
      <c r="Q11" s="23">
        <f>Q10</f>
        <v>-3.9000000000157797E-3</v>
      </c>
      <c r="T11" s="1"/>
      <c r="U11" s="11">
        <v>0</v>
      </c>
      <c r="V11" s="10">
        <v>0</v>
      </c>
      <c r="W11" s="10">
        <v>0</v>
      </c>
      <c r="X11" s="9">
        <v>1</v>
      </c>
    </row>
    <row r="12" spans="2:25" ht="15" thickBot="1" x14ac:dyDescent="0.4">
      <c r="B12">
        <v>10</v>
      </c>
      <c r="C12">
        <f t="shared" si="4"/>
        <v>2.1799999999999988</v>
      </c>
      <c r="D12" s="1">
        <f t="shared" si="0"/>
        <v>4.5720000000000001</v>
      </c>
      <c r="I12" s="22">
        <f>I11</f>
        <v>5.5758999999999999</v>
      </c>
      <c r="J12" s="21">
        <f>J11</f>
        <v>-3.819999999999979E-2</v>
      </c>
      <c r="K12" s="20">
        <f>K11/2</f>
        <v>-2.5049999999999795E-2</v>
      </c>
      <c r="L12" s="20">
        <f>L11/6</f>
        <v>8.3333333333287144E-5</v>
      </c>
      <c r="M12" s="20">
        <f>M11/24</f>
        <v>2.0833333333284781E-5</v>
      </c>
      <c r="N12" s="20">
        <f>N11/120</f>
        <v>3.3333333333403675E-6</v>
      </c>
      <c r="O12" s="20">
        <f>O11/720</f>
        <v>1.2500000000057218E-6</v>
      </c>
      <c r="P12" s="20">
        <f>P11/(7*6*5*4*3*2)</f>
        <v>-3.571428571436108E-7</v>
      </c>
      <c r="Q12" s="19">
        <f>Q11/(8*7*6*5*4*3*2)</f>
        <v>-9.6726190476581833E-8</v>
      </c>
      <c r="T12">
        <v>1</v>
      </c>
      <c r="U12" s="8" cm="1">
        <f t="array" ref="U12:X12">V11:Y11-T12*U11:X11</f>
        <v>0</v>
      </c>
      <c r="V12">
        <v>0</v>
      </c>
      <c r="W12">
        <v>1</v>
      </c>
      <c r="X12" s="7">
        <v>-1</v>
      </c>
    </row>
    <row r="13" spans="2:25" ht="15" thickBot="1" x14ac:dyDescent="0.4">
      <c r="B13">
        <v>11</v>
      </c>
      <c r="C13">
        <f t="shared" si="4"/>
        <v>2.2979999999999987</v>
      </c>
      <c r="D13" s="1">
        <f t="shared" si="0"/>
        <v>4.7195999999999998</v>
      </c>
      <c r="T13">
        <v>4</v>
      </c>
      <c r="U13" s="8" cm="1">
        <f t="array" ref="U13:X13">V12:Y12-T13*U12:X12</f>
        <v>0</v>
      </c>
      <c r="V13">
        <v>1</v>
      </c>
      <c r="W13">
        <v>-5</v>
      </c>
      <c r="X13" s="7">
        <v>4</v>
      </c>
    </row>
    <row r="14" spans="2:25" ht="15" thickBot="1" x14ac:dyDescent="0.4">
      <c r="B14">
        <v>12</v>
      </c>
      <c r="C14">
        <f t="shared" si="4"/>
        <v>2.4159999999999986</v>
      </c>
      <c r="D14" s="1">
        <f t="shared" si="0"/>
        <v>4.8182</v>
      </c>
      <c r="I14" s="11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9">
        <v>1</v>
      </c>
      <c r="T14">
        <v>9</v>
      </c>
      <c r="U14" s="6" cm="1">
        <f t="array" ref="U14:X14">V13:Y13-T14*U13:X13</f>
        <v>1</v>
      </c>
      <c r="V14" s="5">
        <v>-14</v>
      </c>
      <c r="W14" s="5">
        <v>49</v>
      </c>
      <c r="X14" s="4">
        <v>-36</v>
      </c>
    </row>
    <row r="15" spans="2:25" x14ac:dyDescent="0.35">
      <c r="B15">
        <v>13</v>
      </c>
      <c r="C15">
        <f t="shared" si="4"/>
        <v>2.5339999999999985</v>
      </c>
      <c r="D15" s="1">
        <f t="shared" si="0"/>
        <v>4.8665000000000003</v>
      </c>
      <c r="H15">
        <v>0</v>
      </c>
      <c r="I15" s="8" cm="1">
        <f t="array" ref="I15:Q15">J14:R14-H15*I14:Q14</f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 s="7">
        <v>0</v>
      </c>
    </row>
    <row r="16" spans="2:25" x14ac:dyDescent="0.35">
      <c r="B16">
        <v>14</v>
      </c>
      <c r="C16">
        <f t="shared" si="4"/>
        <v>2.6519999999999984</v>
      </c>
      <c r="D16" s="1">
        <f t="shared" si="0"/>
        <v>4.8642000000000003</v>
      </c>
      <c r="H16">
        <v>1</v>
      </c>
      <c r="I16" s="8" cm="1">
        <f t="array" ref="I16:Q16">J15:R15-H16*I15:Q15</f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-1</v>
      </c>
      <c r="Q16" s="7">
        <v>0</v>
      </c>
      <c r="T16" t="s">
        <v>14</v>
      </c>
      <c r="U16" t="s">
        <v>13</v>
      </c>
      <c r="V16" t="s">
        <v>12</v>
      </c>
      <c r="W16" t="s">
        <v>11</v>
      </c>
      <c r="X16" t="s">
        <v>10</v>
      </c>
    </row>
    <row r="17" spans="2:24" x14ac:dyDescent="0.35">
      <c r="B17">
        <v>15</v>
      </c>
      <c r="C17">
        <f t="shared" si="4"/>
        <v>2.7699999999999982</v>
      </c>
      <c r="D17" s="1">
        <f t="shared" si="0"/>
        <v>4.8114999999999997</v>
      </c>
      <c r="H17">
        <v>-1</v>
      </c>
      <c r="I17" s="8" cm="1">
        <f t="array" ref="I17:Q17">J16:R16-H17*I16:Q16</f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-1</v>
      </c>
      <c r="Q17" s="7">
        <v>0</v>
      </c>
      <c r="S17" t="s">
        <v>9</v>
      </c>
      <c r="T17" cm="1">
        <f t="array" ref="T17:W17">MMULT(U8:X8,U11:X14)</f>
        <v>-9.6726190476581833E-8</v>
      </c>
      <c r="U17">
        <v>2.6041666666778673E-6</v>
      </c>
      <c r="V17">
        <v>9.8437499999036623E-6</v>
      </c>
      <c r="W17">
        <v>-2.5062351190475902E-2</v>
      </c>
      <c r="X17" s="1">
        <f>U3</f>
        <v>5.5758999999999999</v>
      </c>
    </row>
    <row r="18" spans="2:24" x14ac:dyDescent="0.35">
      <c r="B18">
        <v>16</v>
      </c>
      <c r="C18">
        <f t="shared" si="4"/>
        <v>2.8879999999999981</v>
      </c>
      <c r="D18" s="1">
        <f t="shared" si="0"/>
        <v>4.7093999999999996</v>
      </c>
      <c r="H18">
        <v>2</v>
      </c>
      <c r="I18" s="8" cm="1">
        <f t="array" ref="I18:Q18">J17:R17-H18*I17:Q17</f>
        <v>0</v>
      </c>
      <c r="J18">
        <v>0</v>
      </c>
      <c r="K18">
        <v>0</v>
      </c>
      <c r="L18">
        <v>0</v>
      </c>
      <c r="M18">
        <v>1</v>
      </c>
      <c r="N18">
        <v>-2</v>
      </c>
      <c r="O18">
        <v>-1</v>
      </c>
      <c r="P18">
        <v>2</v>
      </c>
      <c r="Q18" s="7">
        <v>0</v>
      </c>
      <c r="T18" t="s">
        <v>8</v>
      </c>
      <c r="U18" t="s">
        <v>7</v>
      </c>
      <c r="V18" t="s">
        <v>6</v>
      </c>
      <c r="W18" t="s">
        <v>5</v>
      </c>
    </row>
    <row r="19" spans="2:24" x14ac:dyDescent="0.35">
      <c r="B19">
        <v>17</v>
      </c>
      <c r="C19">
        <f t="shared" si="4"/>
        <v>3.005999999999998</v>
      </c>
      <c r="D19" s="1">
        <f t="shared" si="0"/>
        <v>4.5595999999999997</v>
      </c>
      <c r="H19">
        <v>-2</v>
      </c>
      <c r="I19" s="8" cm="1">
        <f t="array" ref="I19:Q19">J18:R18-H19*I18:Q18</f>
        <v>0</v>
      </c>
      <c r="J19">
        <v>0</v>
      </c>
      <c r="K19">
        <v>0</v>
      </c>
      <c r="L19">
        <v>1</v>
      </c>
      <c r="M19">
        <v>0</v>
      </c>
      <c r="N19">
        <v>-5</v>
      </c>
      <c r="O19">
        <v>0</v>
      </c>
      <c r="P19">
        <v>4</v>
      </c>
      <c r="Q19" s="7">
        <v>0</v>
      </c>
      <c r="S19" t="s">
        <v>4</v>
      </c>
      <c r="T19" cm="1">
        <f t="array" ref="T19:W19">MMULT(U9:X9,U11:X14)</f>
        <v>2.9761904762716529E-8</v>
      </c>
      <c r="U19">
        <v>-8.3333333335482933E-7</v>
      </c>
      <c r="V19">
        <v>4.5208333333474685E-5</v>
      </c>
      <c r="W19">
        <v>-1.3194404761904878E-2</v>
      </c>
    </row>
    <row r="20" spans="2:24" x14ac:dyDescent="0.35">
      <c r="B20">
        <v>18</v>
      </c>
      <c r="C20">
        <f t="shared" si="4"/>
        <v>3.1239999999999979</v>
      </c>
      <c r="D20" s="1">
        <f t="shared" si="0"/>
        <v>4.3642000000000003</v>
      </c>
      <c r="H20">
        <v>3</v>
      </c>
      <c r="I20" s="8" cm="1">
        <f t="array" ref="I20:Q20">J19:R19-H20*I19:Q19</f>
        <v>0</v>
      </c>
      <c r="J20">
        <v>0</v>
      </c>
      <c r="K20">
        <v>1</v>
      </c>
      <c r="L20">
        <v>-3</v>
      </c>
      <c r="M20">
        <v>-5</v>
      </c>
      <c r="N20">
        <v>15</v>
      </c>
      <c r="O20">
        <v>4</v>
      </c>
      <c r="P20">
        <v>-12</v>
      </c>
      <c r="Q20" s="7">
        <v>0</v>
      </c>
    </row>
    <row r="21" spans="2:24" x14ac:dyDescent="0.35">
      <c r="B21">
        <v>19</v>
      </c>
      <c r="C21">
        <f t="shared" si="4"/>
        <v>3.2419999999999978</v>
      </c>
      <c r="D21" s="1">
        <f t="shared" si="0"/>
        <v>4.1262999999999996</v>
      </c>
      <c r="H21">
        <v>-3</v>
      </c>
      <c r="I21" s="8" cm="1">
        <f t="array" ref="I21:Q21">J20:R20-H21*I20:Q20</f>
        <v>0</v>
      </c>
      <c r="J21">
        <v>1</v>
      </c>
      <c r="K21">
        <v>0</v>
      </c>
      <c r="L21">
        <v>-14</v>
      </c>
      <c r="M21">
        <v>0</v>
      </c>
      <c r="N21">
        <v>49</v>
      </c>
      <c r="O21">
        <v>0</v>
      </c>
      <c r="P21">
        <v>-36</v>
      </c>
      <c r="Q21" s="7">
        <v>0</v>
      </c>
    </row>
    <row r="22" spans="2:24" ht="15" thickBot="1" x14ac:dyDescent="0.4">
      <c r="B22">
        <v>20</v>
      </c>
      <c r="C22">
        <f t="shared" si="4"/>
        <v>3.3599999999999977</v>
      </c>
      <c r="D22" s="1">
        <f t="shared" si="0"/>
        <v>3.8492999999999999</v>
      </c>
      <c r="H22">
        <v>4</v>
      </c>
      <c r="I22" s="6" cm="1">
        <f t="array" ref="I22:Q22">J21:R21-H22*I21:Q21</f>
        <v>1</v>
      </c>
      <c r="J22" s="5">
        <v>-4</v>
      </c>
      <c r="K22" s="5">
        <v>-14</v>
      </c>
      <c r="L22" s="5">
        <v>56</v>
      </c>
      <c r="M22" s="5">
        <v>49</v>
      </c>
      <c r="N22" s="5">
        <v>-196</v>
      </c>
      <c r="O22" s="5">
        <v>-36</v>
      </c>
      <c r="P22" s="5">
        <v>144</v>
      </c>
      <c r="Q22" s="4">
        <v>0</v>
      </c>
    </row>
    <row r="23" spans="2:24" x14ac:dyDescent="0.35">
      <c r="B23">
        <v>21</v>
      </c>
      <c r="C23">
        <f t="shared" si="4"/>
        <v>3.4779999999999975</v>
      </c>
      <c r="D23" s="1">
        <f t="shared" si="0"/>
        <v>3.5373000000000001</v>
      </c>
    </row>
    <row r="24" spans="2:24" x14ac:dyDescent="0.35">
      <c r="B24">
        <v>22</v>
      </c>
      <c r="C24">
        <f t="shared" si="4"/>
        <v>3.5959999999999974</v>
      </c>
      <c r="D24" s="1">
        <f t="shared" si="0"/>
        <v>3.1947999999999999</v>
      </c>
      <c r="P24" s="18"/>
      <c r="Q24" s="14"/>
    </row>
    <row r="25" spans="2:24" x14ac:dyDescent="0.35">
      <c r="B25">
        <v>23</v>
      </c>
      <c r="C25">
        <f t="shared" si="4"/>
        <v>3.7139999999999973</v>
      </c>
      <c r="D25" s="1">
        <f t="shared" si="0"/>
        <v>2.8267000000000002</v>
      </c>
      <c r="G25" s="17" t="s">
        <v>3</v>
      </c>
      <c r="I25" s="17" cm="1">
        <f t="array" ref="I25:Q25">MMULT(I12:Q12,I14:Q22)</f>
        <v>-9.6726190476581833E-8</v>
      </c>
      <c r="J25" s="17">
        <v>2.9761904762716529E-8</v>
      </c>
      <c r="K25" s="17">
        <v>2.6041666666778673E-6</v>
      </c>
      <c r="L25" s="17">
        <v>-8.3333333335483039E-7</v>
      </c>
      <c r="M25" s="17">
        <v>9.8437499999036623E-6</v>
      </c>
      <c r="N25" s="17">
        <v>4.5208333333474678E-5</v>
      </c>
      <c r="O25" s="17">
        <v>-2.5062351190475902E-2</v>
      </c>
      <c r="P25" s="15">
        <v>-1.3194404761904878E-2</v>
      </c>
      <c r="Q25" s="16">
        <v>5.5758999999999999</v>
      </c>
    </row>
    <row r="26" spans="2:24" x14ac:dyDescent="0.35">
      <c r="B26">
        <v>24</v>
      </c>
      <c r="C26">
        <f t="shared" si="4"/>
        <v>3.8319999999999972</v>
      </c>
      <c r="D26" s="1">
        <f t="shared" si="0"/>
        <v>2.4384000000000001</v>
      </c>
      <c r="N26" s="2"/>
      <c r="P26" s="15"/>
      <c r="Q26" s="14"/>
    </row>
    <row r="27" spans="2:24" x14ac:dyDescent="0.35">
      <c r="B27">
        <v>25</v>
      </c>
      <c r="C27">
        <f t="shared" si="4"/>
        <v>3.9499999999999971</v>
      </c>
      <c r="D27" s="1">
        <f t="shared" si="0"/>
        <v>2.0354000000000001</v>
      </c>
    </row>
    <row r="28" spans="2:24" x14ac:dyDescent="0.35">
      <c r="B28">
        <v>26</v>
      </c>
      <c r="C28">
        <f t="shared" si="4"/>
        <v>4.067999999999997</v>
      </c>
      <c r="D28" s="1">
        <f t="shared" si="0"/>
        <v>1.6234</v>
      </c>
    </row>
    <row r="29" spans="2:24" x14ac:dyDescent="0.35">
      <c r="B29">
        <v>27</v>
      </c>
      <c r="C29">
        <f t="shared" si="4"/>
        <v>4.1859999999999973</v>
      </c>
      <c r="D29" s="1">
        <f t="shared" si="0"/>
        <v>1.2083999999999999</v>
      </c>
      <c r="F29" s="48" t="s">
        <v>2</v>
      </c>
      <c r="G29" s="48"/>
      <c r="H29" s="48"/>
      <c r="I29" s="13">
        <f>I6</f>
        <v>5.5758999999999999</v>
      </c>
      <c r="J29" s="12">
        <f>J6</f>
        <v>1.18999999999998E-2</v>
      </c>
      <c r="K29" s="12">
        <f>K7</f>
        <v>-5.0099999999999589E-2</v>
      </c>
      <c r="L29" s="12">
        <f>L7</f>
        <v>8.8817841970012523E-16</v>
      </c>
      <c r="M29" s="12">
        <f>M8</f>
        <v>4.9999999999883471E-4</v>
      </c>
      <c r="N29" s="12">
        <f>N8</f>
        <v>-5.000000000032756E-4</v>
      </c>
      <c r="O29" s="12">
        <f>O9</f>
        <v>9.0000000000411973E-4</v>
      </c>
      <c r="P29" s="12">
        <f>P9</f>
        <v>2.1000000000119812E-3</v>
      </c>
      <c r="Q29" s="12">
        <f>Q10</f>
        <v>-3.9000000000157797E-3</v>
      </c>
    </row>
    <row r="30" spans="2:24" x14ac:dyDescent="0.35">
      <c r="B30">
        <v>28</v>
      </c>
      <c r="C30">
        <f t="shared" si="4"/>
        <v>4.3039999999999976</v>
      </c>
      <c r="D30" s="1">
        <f t="shared" si="0"/>
        <v>0.79620000000000002</v>
      </c>
      <c r="I30" s="1">
        <f>I29</f>
        <v>5.5758999999999999</v>
      </c>
      <c r="J30" s="1">
        <f>J29</f>
        <v>1.18999999999998E-2</v>
      </c>
      <c r="K30">
        <f>K29/2</f>
        <v>-2.5049999999999795E-2</v>
      </c>
      <c r="L30">
        <f>L29/6</f>
        <v>1.4802973661668753E-16</v>
      </c>
      <c r="M30">
        <f>M29/24</f>
        <v>2.0833333333284781E-5</v>
      </c>
      <c r="N30">
        <f>N29/120</f>
        <v>-4.1666666666939634E-6</v>
      </c>
      <c r="O30">
        <f>O29/720</f>
        <v>1.2500000000057218E-6</v>
      </c>
      <c r="P30">
        <f>P29/(7*6*5*4*3*2)</f>
        <v>4.1666666666904386E-7</v>
      </c>
      <c r="Q30">
        <f>Q29/(8*7*6*5*4*3*2)</f>
        <v>-9.6726190476581833E-8</v>
      </c>
    </row>
    <row r="31" spans="2:24" ht="15" thickBot="1" x14ac:dyDescent="0.4">
      <c r="B31">
        <v>29</v>
      </c>
      <c r="C31">
        <f t="shared" si="4"/>
        <v>4.4219999999999979</v>
      </c>
      <c r="D31" s="1">
        <f t="shared" si="0"/>
        <v>0.39279999999999998</v>
      </c>
    </row>
    <row r="32" spans="2:24" x14ac:dyDescent="0.35">
      <c r="B32">
        <v>30</v>
      </c>
      <c r="C32">
        <f t="shared" si="4"/>
        <v>4.5399999999999983</v>
      </c>
      <c r="D32" s="1">
        <f t="shared" si="0"/>
        <v>4.0000000000000001E-3</v>
      </c>
      <c r="H32" s="1"/>
      <c r="I32" s="11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9">
        <v>1</v>
      </c>
    </row>
    <row r="33" spans="2:19" x14ac:dyDescent="0.35">
      <c r="B33">
        <v>31</v>
      </c>
      <c r="C33">
        <f t="shared" si="4"/>
        <v>4.6579999999999986</v>
      </c>
      <c r="D33" s="1">
        <f t="shared" si="0"/>
        <v>-0.3649</v>
      </c>
      <c r="H33">
        <v>0</v>
      </c>
      <c r="I33" s="8" cm="1">
        <f t="array" ref="I33:Q33">J32:R32-H33*I32:Q32</f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 s="7">
        <v>0</v>
      </c>
    </row>
    <row r="34" spans="2:19" x14ac:dyDescent="0.35">
      <c r="B34">
        <v>32</v>
      </c>
      <c r="C34">
        <f t="shared" si="4"/>
        <v>4.7759999999999989</v>
      </c>
      <c r="D34" s="1">
        <f t="shared" si="0"/>
        <v>-0.70830000000000004</v>
      </c>
      <c r="H34">
        <v>-1</v>
      </c>
      <c r="I34" s="8" cm="1">
        <f t="array" ref="I34:Q34">J33:R33-H34*I33:Q33</f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 s="7">
        <v>0</v>
      </c>
    </row>
    <row r="35" spans="2:19" x14ac:dyDescent="0.35">
      <c r="B35">
        <v>33</v>
      </c>
      <c r="C35">
        <f t="shared" si="4"/>
        <v>4.8939999999999992</v>
      </c>
      <c r="D35" s="1">
        <f t="shared" si="0"/>
        <v>-1.0216000000000001</v>
      </c>
      <c r="H35">
        <v>1</v>
      </c>
      <c r="I35" s="8" cm="1">
        <f t="array" ref="I35:Q35">J34:R34-H35*I34:Q34</f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-1</v>
      </c>
      <c r="Q35" s="7">
        <v>0</v>
      </c>
    </row>
    <row r="36" spans="2:19" x14ac:dyDescent="0.35">
      <c r="B36">
        <v>34</v>
      </c>
      <c r="C36">
        <f t="shared" ref="C36:C67" si="8">C35+$C$1</f>
        <v>5.0119999999999996</v>
      </c>
      <c r="D36" s="1">
        <f t="shared" si="0"/>
        <v>-1.3001</v>
      </c>
      <c r="H36">
        <v>-2</v>
      </c>
      <c r="I36" s="8" cm="1">
        <f t="array" ref="I36:Q36">J35:R35-H36*I35:Q35</f>
        <v>0</v>
      </c>
      <c r="J36">
        <v>0</v>
      </c>
      <c r="K36">
        <v>0</v>
      </c>
      <c r="L36">
        <v>0</v>
      </c>
      <c r="M36">
        <v>1</v>
      </c>
      <c r="N36">
        <v>2</v>
      </c>
      <c r="O36">
        <v>-1</v>
      </c>
      <c r="P36">
        <v>-2</v>
      </c>
      <c r="Q36" s="7">
        <v>0</v>
      </c>
    </row>
    <row r="37" spans="2:19" x14ac:dyDescent="0.35">
      <c r="B37">
        <v>35</v>
      </c>
      <c r="C37">
        <f t="shared" si="8"/>
        <v>5.13</v>
      </c>
      <c r="D37" s="1">
        <f t="shared" si="0"/>
        <v>-1.5399</v>
      </c>
      <c r="H37">
        <v>2</v>
      </c>
      <c r="I37" s="8" cm="1">
        <f t="array" ref="I37:Q37">J36:R36-H37*I36:Q36</f>
        <v>0</v>
      </c>
      <c r="J37">
        <v>0</v>
      </c>
      <c r="K37">
        <v>0</v>
      </c>
      <c r="L37">
        <v>1</v>
      </c>
      <c r="M37">
        <v>0</v>
      </c>
      <c r="N37">
        <v>-5</v>
      </c>
      <c r="O37">
        <v>0</v>
      </c>
      <c r="P37">
        <v>4</v>
      </c>
      <c r="Q37" s="7">
        <v>0</v>
      </c>
    </row>
    <row r="38" spans="2:19" x14ac:dyDescent="0.35">
      <c r="B38">
        <v>36</v>
      </c>
      <c r="C38">
        <f t="shared" si="8"/>
        <v>5.2480000000000002</v>
      </c>
      <c r="D38" s="1">
        <f t="shared" si="0"/>
        <v>-1.7375</v>
      </c>
      <c r="H38">
        <v>-3</v>
      </c>
      <c r="I38" s="8" cm="1">
        <f t="array" ref="I38:Q38">J37:R37-H38*I37:Q37</f>
        <v>0</v>
      </c>
      <c r="J38">
        <v>0</v>
      </c>
      <c r="K38">
        <v>1</v>
      </c>
      <c r="L38">
        <v>3</v>
      </c>
      <c r="M38">
        <v>-5</v>
      </c>
      <c r="N38">
        <v>-15</v>
      </c>
      <c r="O38">
        <v>4</v>
      </c>
      <c r="P38">
        <v>12</v>
      </c>
      <c r="Q38" s="7">
        <v>0</v>
      </c>
    </row>
    <row r="39" spans="2:19" x14ac:dyDescent="0.35">
      <c r="B39">
        <v>37</v>
      </c>
      <c r="C39">
        <f t="shared" si="8"/>
        <v>5.3660000000000005</v>
      </c>
      <c r="D39" s="1">
        <f t="shared" si="0"/>
        <v>-1.89</v>
      </c>
      <c r="H39">
        <v>3</v>
      </c>
      <c r="I39" s="8" cm="1">
        <f t="array" ref="I39:Q39">J38:R38-H39*I38:Q38</f>
        <v>0</v>
      </c>
      <c r="J39">
        <v>1</v>
      </c>
      <c r="K39">
        <v>0</v>
      </c>
      <c r="L39">
        <v>-14</v>
      </c>
      <c r="M39">
        <v>0</v>
      </c>
      <c r="N39">
        <v>49</v>
      </c>
      <c r="O39">
        <v>0</v>
      </c>
      <c r="P39">
        <v>-36</v>
      </c>
      <c r="Q39" s="7">
        <v>0</v>
      </c>
    </row>
    <row r="40" spans="2:19" ht="15" thickBot="1" x14ac:dyDescent="0.4">
      <c r="B40">
        <v>38</v>
      </c>
      <c r="C40">
        <f t="shared" si="8"/>
        <v>5.4840000000000009</v>
      </c>
      <c r="D40" s="1">
        <f t="shared" si="0"/>
        <v>-1.9952000000000001</v>
      </c>
      <c r="H40">
        <v>-4</v>
      </c>
      <c r="I40" s="6" cm="1">
        <f t="array" ref="I40:Q40">J39:R39-H40*I39:Q39</f>
        <v>1</v>
      </c>
      <c r="J40" s="5">
        <v>4</v>
      </c>
      <c r="K40" s="5">
        <v>-14</v>
      </c>
      <c r="L40" s="5">
        <v>-56</v>
      </c>
      <c r="M40" s="5">
        <v>49</v>
      </c>
      <c r="N40" s="5">
        <v>196</v>
      </c>
      <c r="O40" s="5">
        <v>-36</v>
      </c>
      <c r="P40" s="5">
        <v>-144</v>
      </c>
      <c r="Q40" s="4">
        <v>0</v>
      </c>
    </row>
    <row r="41" spans="2:19" x14ac:dyDescent="0.35">
      <c r="B41">
        <v>39</v>
      </c>
      <c r="C41">
        <f t="shared" si="8"/>
        <v>5.6020000000000012</v>
      </c>
      <c r="D41" s="1">
        <f t="shared" si="0"/>
        <v>-2.0514999999999999</v>
      </c>
    </row>
    <row r="42" spans="2:19" x14ac:dyDescent="0.35">
      <c r="B42">
        <v>40</v>
      </c>
      <c r="C42">
        <f t="shared" si="8"/>
        <v>5.7200000000000015</v>
      </c>
      <c r="D42" s="1">
        <f t="shared" si="0"/>
        <v>-2.0579000000000001</v>
      </c>
    </row>
    <row r="43" spans="2:19" x14ac:dyDescent="0.35">
      <c r="B43">
        <v>41</v>
      </c>
      <c r="C43">
        <f t="shared" si="8"/>
        <v>5.8380000000000019</v>
      </c>
      <c r="D43" s="1">
        <f t="shared" si="0"/>
        <v>-2.0144000000000002</v>
      </c>
      <c r="G43" s="3" t="s">
        <v>1</v>
      </c>
      <c r="H43">
        <v>15.237</v>
      </c>
      <c r="I43" s="3" cm="1">
        <f t="array" ref="I43:Q43">MMULT(I30:Q30,I32:Q40)</f>
        <v>-9.6726190476581833E-8</v>
      </c>
      <c r="J43" s="3">
        <v>2.9761904762716529E-8</v>
      </c>
      <c r="K43" s="3">
        <v>2.6041666666778673E-6</v>
      </c>
      <c r="L43" s="3">
        <v>-8.333333333548287E-7</v>
      </c>
      <c r="M43" s="3">
        <v>9.8437499999036623E-6</v>
      </c>
      <c r="N43" s="3">
        <v>4.5208333333474685E-5</v>
      </c>
      <c r="O43" s="3">
        <v>-2.5062351190475902E-2</v>
      </c>
      <c r="P43" s="3">
        <v>-1.3194404761904878E-2</v>
      </c>
      <c r="Q43" s="3">
        <v>5.5758999999999999</v>
      </c>
    </row>
    <row r="44" spans="2:19" x14ac:dyDescent="0.35">
      <c r="B44">
        <v>42</v>
      </c>
      <c r="C44">
        <f t="shared" si="8"/>
        <v>5.9560000000000022</v>
      </c>
      <c r="D44" s="1">
        <f t="shared" si="0"/>
        <v>-1.9214</v>
      </c>
      <c r="H44">
        <f>(H43-H6)/C1</f>
        <v>0.65254237288112982</v>
      </c>
      <c r="I44">
        <f>I43</f>
        <v>-9.6726190476581833E-8</v>
      </c>
      <c r="J44">
        <f t="shared" ref="J44:Q44" si="9">I44*$H$44+J43</f>
        <v>-3.3356033090624318E-8</v>
      </c>
      <c r="K44">
        <f t="shared" si="9"/>
        <v>2.5824004416950099E-6</v>
      </c>
      <c r="L44">
        <f t="shared" si="9"/>
        <v>8.5179237859811085E-7</v>
      </c>
      <c r="M44">
        <f t="shared" si="9"/>
        <v>1.0399580619836135E-5</v>
      </c>
      <c r="N44">
        <f t="shared" si="9"/>
        <v>5.1994500348111166E-5</v>
      </c>
      <c r="O44">
        <f t="shared" si="9"/>
        <v>-2.5028422575841976E-2</v>
      </c>
      <c r="P44">
        <f t="shared" si="9"/>
        <v>-2.952651101901644E-2</v>
      </c>
      <c r="Q44" s="2">
        <f t="shared" si="9"/>
        <v>5.5566327004367499</v>
      </c>
      <c r="S44" s="2" t="s">
        <v>0</v>
      </c>
    </row>
    <row r="45" spans="2:19" x14ac:dyDescent="0.35">
      <c r="B45">
        <v>43</v>
      </c>
      <c r="C45">
        <f t="shared" si="8"/>
        <v>6.0740000000000025</v>
      </c>
      <c r="D45" s="1">
        <f t="shared" si="0"/>
        <v>-1.78</v>
      </c>
    </row>
    <row r="46" spans="2:19" x14ac:dyDescent="0.35">
      <c r="B46">
        <v>44</v>
      </c>
      <c r="C46">
        <f t="shared" si="8"/>
        <v>6.1920000000000028</v>
      </c>
      <c r="D46" s="1">
        <f t="shared" si="0"/>
        <v>-1.5922000000000001</v>
      </c>
    </row>
    <row r="47" spans="2:19" x14ac:dyDescent="0.35">
      <c r="B47">
        <v>45</v>
      </c>
      <c r="C47">
        <f t="shared" si="8"/>
        <v>6.3100000000000032</v>
      </c>
      <c r="D47" s="1">
        <f t="shared" si="0"/>
        <v>-1.3604000000000001</v>
      </c>
    </row>
    <row r="48" spans="2:19" x14ac:dyDescent="0.35">
      <c r="B48">
        <v>46</v>
      </c>
      <c r="C48">
        <f t="shared" si="8"/>
        <v>6.4280000000000035</v>
      </c>
      <c r="D48" s="1">
        <f t="shared" si="0"/>
        <v>-1.0876999999999999</v>
      </c>
    </row>
    <row r="49" spans="2:4" x14ac:dyDescent="0.35">
      <c r="B49">
        <v>47</v>
      </c>
      <c r="C49">
        <f t="shared" si="8"/>
        <v>6.5460000000000038</v>
      </c>
      <c r="D49" s="1">
        <f t="shared" si="0"/>
        <v>-0.77790000000000004</v>
      </c>
    </row>
    <row r="50" spans="2:4" x14ac:dyDescent="0.35">
      <c r="B50">
        <v>48</v>
      </c>
      <c r="C50">
        <f t="shared" si="8"/>
        <v>6.6640000000000041</v>
      </c>
      <c r="D50" s="1">
        <f t="shared" si="0"/>
        <v>-0.435</v>
      </c>
    </row>
    <row r="51" spans="2:4" x14ac:dyDescent="0.35">
      <c r="B51">
        <v>49</v>
      </c>
      <c r="C51">
        <f t="shared" si="8"/>
        <v>6.7820000000000045</v>
      </c>
      <c r="D51" s="1">
        <f t="shared" si="0"/>
        <v>-6.3899999999999998E-2</v>
      </c>
    </row>
    <row r="52" spans="2:4" x14ac:dyDescent="0.35">
      <c r="B52">
        <v>50</v>
      </c>
      <c r="C52">
        <f t="shared" si="8"/>
        <v>6.9000000000000048</v>
      </c>
      <c r="D52" s="1">
        <f t="shared" si="0"/>
        <v>0.33040000000000003</v>
      </c>
    </row>
    <row r="53" spans="2:4" x14ac:dyDescent="0.35">
      <c r="B53">
        <v>51</v>
      </c>
      <c r="C53">
        <f t="shared" si="8"/>
        <v>7.0180000000000051</v>
      </c>
      <c r="D53" s="1">
        <f t="shared" si="0"/>
        <v>0.74270000000000003</v>
      </c>
    </row>
    <row r="54" spans="2:4" x14ac:dyDescent="0.35">
      <c r="B54">
        <v>52</v>
      </c>
      <c r="C54">
        <f t="shared" si="8"/>
        <v>7.1360000000000054</v>
      </c>
      <c r="D54" s="1">
        <f t="shared" si="0"/>
        <v>1.1671</v>
      </c>
    </row>
    <row r="55" spans="2:4" x14ac:dyDescent="0.35">
      <c r="B55">
        <v>53</v>
      </c>
      <c r="C55">
        <f t="shared" si="8"/>
        <v>7.2540000000000058</v>
      </c>
      <c r="D55" s="1">
        <f t="shared" si="0"/>
        <v>1.5979000000000001</v>
      </c>
    </row>
    <row r="56" spans="2:4" x14ac:dyDescent="0.35">
      <c r="B56">
        <v>54</v>
      </c>
      <c r="C56">
        <f t="shared" si="8"/>
        <v>7.3720000000000061</v>
      </c>
      <c r="D56" s="1">
        <f t="shared" si="0"/>
        <v>2.0293000000000001</v>
      </c>
    </row>
    <row r="57" spans="2:4" x14ac:dyDescent="0.35">
      <c r="B57">
        <v>55</v>
      </c>
      <c r="C57">
        <f t="shared" si="8"/>
        <v>7.4900000000000064</v>
      </c>
      <c r="D57" s="1">
        <f t="shared" si="0"/>
        <v>2.4552999999999998</v>
      </c>
    </row>
    <row r="58" spans="2:4" x14ac:dyDescent="0.35">
      <c r="B58">
        <v>56</v>
      </c>
      <c r="C58">
        <f t="shared" si="8"/>
        <v>7.6080000000000068</v>
      </c>
      <c r="D58" s="1">
        <f t="shared" si="0"/>
        <v>2.8700999999999999</v>
      </c>
    </row>
    <row r="59" spans="2:4" x14ac:dyDescent="0.35">
      <c r="B59">
        <v>57</v>
      </c>
      <c r="C59">
        <f t="shared" si="8"/>
        <v>7.7260000000000071</v>
      </c>
      <c r="D59" s="1">
        <f t="shared" si="0"/>
        <v>3.2679</v>
      </c>
    </row>
    <row r="60" spans="2:4" x14ac:dyDescent="0.35">
      <c r="B60">
        <v>58</v>
      </c>
      <c r="C60">
        <f t="shared" si="8"/>
        <v>7.8440000000000074</v>
      </c>
      <c r="D60" s="1">
        <f t="shared" si="0"/>
        <v>3.6435</v>
      </c>
    </row>
    <row r="61" spans="2:4" x14ac:dyDescent="0.35">
      <c r="B61">
        <v>59</v>
      </c>
      <c r="C61">
        <f t="shared" si="8"/>
        <v>7.9620000000000077</v>
      </c>
      <c r="D61" s="1">
        <f t="shared" si="0"/>
        <v>3.9916</v>
      </c>
    </row>
    <row r="62" spans="2:4" x14ac:dyDescent="0.35">
      <c r="B62">
        <v>60</v>
      </c>
      <c r="C62">
        <f t="shared" si="8"/>
        <v>8.0800000000000072</v>
      </c>
      <c r="D62" s="1">
        <f t="shared" si="0"/>
        <v>4.3074000000000003</v>
      </c>
    </row>
    <row r="63" spans="2:4" x14ac:dyDescent="0.35">
      <c r="B63">
        <v>61</v>
      </c>
      <c r="C63">
        <f t="shared" si="8"/>
        <v>8.1980000000000075</v>
      </c>
      <c r="D63" s="1">
        <f t="shared" si="0"/>
        <v>4.5867000000000004</v>
      </c>
    </row>
    <row r="64" spans="2:4" x14ac:dyDescent="0.35">
      <c r="B64">
        <v>62</v>
      </c>
      <c r="C64">
        <f t="shared" si="8"/>
        <v>8.3160000000000078</v>
      </c>
      <c r="D64" s="1">
        <f t="shared" si="0"/>
        <v>4.8257000000000003</v>
      </c>
    </row>
    <row r="65" spans="2:4" x14ac:dyDescent="0.35">
      <c r="B65">
        <v>63</v>
      </c>
      <c r="C65">
        <f t="shared" si="8"/>
        <v>8.4340000000000082</v>
      </c>
      <c r="D65" s="1">
        <f t="shared" si="0"/>
        <v>5.0212000000000003</v>
      </c>
    </row>
    <row r="66" spans="2:4" x14ac:dyDescent="0.35">
      <c r="B66">
        <v>64</v>
      </c>
      <c r="C66">
        <f t="shared" si="8"/>
        <v>8.5520000000000085</v>
      </c>
      <c r="D66" s="1">
        <f t="shared" ref="D66:D129" si="10">ROUND(POWER(C66,1/4)+2*SIN(C66)-3*COS(C66),4)</f>
        <v>5.1703999999999999</v>
      </c>
    </row>
    <row r="67" spans="2:4" x14ac:dyDescent="0.35">
      <c r="B67">
        <v>65</v>
      </c>
      <c r="C67">
        <f t="shared" si="8"/>
        <v>8.6700000000000088</v>
      </c>
      <c r="D67" s="1">
        <f t="shared" si="10"/>
        <v>5.2714999999999996</v>
      </c>
    </row>
    <row r="68" spans="2:4" x14ac:dyDescent="0.35">
      <c r="B68">
        <v>66</v>
      </c>
      <c r="C68">
        <f t="shared" ref="C68:C99" si="11">C67+$C$1</f>
        <v>8.7880000000000091</v>
      </c>
      <c r="D68" s="1">
        <f t="shared" si="10"/>
        <v>5.3230000000000004</v>
      </c>
    </row>
    <row r="69" spans="2:4" x14ac:dyDescent="0.35">
      <c r="B69">
        <v>67</v>
      </c>
      <c r="C69">
        <f t="shared" si="11"/>
        <v>8.9060000000000095</v>
      </c>
      <c r="D69" s="1">
        <f t="shared" si="10"/>
        <v>5.3243999999999998</v>
      </c>
    </row>
    <row r="70" spans="2:4" x14ac:dyDescent="0.35">
      <c r="B70">
        <v>68</v>
      </c>
      <c r="C70">
        <f t="shared" si="11"/>
        <v>9.0240000000000098</v>
      </c>
      <c r="D70" s="1">
        <f t="shared" si="10"/>
        <v>5.2756999999999996</v>
      </c>
    </row>
    <row r="71" spans="2:4" x14ac:dyDescent="0.35">
      <c r="B71">
        <v>69</v>
      </c>
      <c r="C71">
        <f t="shared" si="11"/>
        <v>9.1420000000000101</v>
      </c>
      <c r="D71" s="1">
        <f t="shared" si="10"/>
        <v>5.1776999999999997</v>
      </c>
    </row>
    <row r="72" spans="2:4" x14ac:dyDescent="0.35">
      <c r="B72">
        <v>70</v>
      </c>
      <c r="C72">
        <f t="shared" si="11"/>
        <v>9.2600000000000104</v>
      </c>
      <c r="D72" s="1">
        <f t="shared" si="10"/>
        <v>5.0319000000000003</v>
      </c>
    </row>
    <row r="73" spans="2:4" x14ac:dyDescent="0.35">
      <c r="B73">
        <v>71</v>
      </c>
      <c r="C73">
        <f t="shared" si="11"/>
        <v>9.3780000000000108</v>
      </c>
      <c r="D73" s="1">
        <f t="shared" si="10"/>
        <v>4.8402000000000003</v>
      </c>
    </row>
    <row r="74" spans="2:4" x14ac:dyDescent="0.35">
      <c r="B74">
        <v>72</v>
      </c>
      <c r="C74">
        <f t="shared" si="11"/>
        <v>9.4960000000000111</v>
      </c>
      <c r="D74" s="1">
        <f t="shared" si="10"/>
        <v>4.6055000000000001</v>
      </c>
    </row>
    <row r="75" spans="2:4" x14ac:dyDescent="0.35">
      <c r="B75">
        <v>73</v>
      </c>
      <c r="C75">
        <f t="shared" si="11"/>
        <v>9.6140000000000114</v>
      </c>
      <c r="D75" s="1">
        <f t="shared" si="10"/>
        <v>4.3311000000000002</v>
      </c>
    </row>
    <row r="76" spans="2:4" x14ac:dyDescent="0.35">
      <c r="B76">
        <v>74</v>
      </c>
      <c r="C76">
        <f t="shared" si="11"/>
        <v>9.7320000000000118</v>
      </c>
      <c r="D76" s="1">
        <f t="shared" si="10"/>
        <v>4.0209999999999999</v>
      </c>
    </row>
    <row r="77" spans="2:4" x14ac:dyDescent="0.35">
      <c r="B77">
        <v>75</v>
      </c>
      <c r="C77">
        <f t="shared" si="11"/>
        <v>9.8500000000000121</v>
      </c>
      <c r="D77" s="1">
        <f t="shared" si="10"/>
        <v>3.6793999999999998</v>
      </c>
    </row>
    <row r="78" spans="2:4" x14ac:dyDescent="0.35">
      <c r="B78">
        <v>76</v>
      </c>
      <c r="C78">
        <f t="shared" si="11"/>
        <v>9.9680000000000124</v>
      </c>
      <c r="D78" s="1">
        <f t="shared" si="10"/>
        <v>3.3111999999999999</v>
      </c>
    </row>
    <row r="79" spans="2:4" x14ac:dyDescent="0.35">
      <c r="B79">
        <v>77</v>
      </c>
      <c r="C79">
        <f t="shared" si="11"/>
        <v>10.086000000000013</v>
      </c>
      <c r="D79" s="1">
        <f t="shared" si="10"/>
        <v>2.9217</v>
      </c>
    </row>
    <row r="80" spans="2:4" x14ac:dyDescent="0.35">
      <c r="B80">
        <v>78</v>
      </c>
      <c r="C80">
        <f t="shared" si="11"/>
        <v>10.204000000000013</v>
      </c>
      <c r="D80" s="1">
        <f t="shared" si="10"/>
        <v>2.5162</v>
      </c>
    </row>
    <row r="81" spans="2:4" x14ac:dyDescent="0.35">
      <c r="B81">
        <v>79</v>
      </c>
      <c r="C81">
        <f t="shared" si="11"/>
        <v>10.322000000000013</v>
      </c>
      <c r="D81" s="1">
        <f t="shared" si="10"/>
        <v>2.1006</v>
      </c>
    </row>
    <row r="82" spans="2:4" x14ac:dyDescent="0.35">
      <c r="B82">
        <v>80</v>
      </c>
      <c r="C82">
        <f t="shared" si="11"/>
        <v>10.440000000000014</v>
      </c>
      <c r="D82" s="1">
        <f t="shared" si="10"/>
        <v>1.6806000000000001</v>
      </c>
    </row>
    <row r="83" spans="2:4" x14ac:dyDescent="0.35">
      <c r="B83">
        <v>81</v>
      </c>
      <c r="C83">
        <f t="shared" si="11"/>
        <v>10.558000000000014</v>
      </c>
      <c r="D83" s="1">
        <f t="shared" si="10"/>
        <v>1.2622</v>
      </c>
    </row>
    <row r="84" spans="2:4" x14ac:dyDescent="0.35">
      <c r="B84">
        <v>82</v>
      </c>
      <c r="C84">
        <f t="shared" si="11"/>
        <v>10.676000000000014</v>
      </c>
      <c r="D84" s="1">
        <f t="shared" si="10"/>
        <v>0.85129999999999995</v>
      </c>
    </row>
    <row r="85" spans="2:4" x14ac:dyDescent="0.35">
      <c r="B85">
        <v>83</v>
      </c>
      <c r="C85">
        <f t="shared" si="11"/>
        <v>10.794000000000015</v>
      </c>
      <c r="D85" s="1">
        <f t="shared" si="10"/>
        <v>0.45369999999999999</v>
      </c>
    </row>
    <row r="86" spans="2:4" x14ac:dyDescent="0.35">
      <c r="B86">
        <v>84</v>
      </c>
      <c r="C86">
        <f t="shared" si="11"/>
        <v>10.912000000000015</v>
      </c>
      <c r="D86" s="1">
        <f t="shared" si="10"/>
        <v>7.4899999999999994E-2</v>
      </c>
    </row>
    <row r="87" spans="2:4" x14ac:dyDescent="0.35">
      <c r="B87">
        <v>85</v>
      </c>
      <c r="C87">
        <f t="shared" si="11"/>
        <v>11.030000000000015</v>
      </c>
      <c r="D87" s="1">
        <f t="shared" si="10"/>
        <v>-0.2797</v>
      </c>
    </row>
    <row r="88" spans="2:4" x14ac:dyDescent="0.35">
      <c r="B88">
        <v>86</v>
      </c>
      <c r="C88">
        <f t="shared" si="11"/>
        <v>11.148000000000016</v>
      </c>
      <c r="D88" s="1">
        <f t="shared" si="10"/>
        <v>-0.60509999999999997</v>
      </c>
    </row>
    <row r="89" spans="2:4" x14ac:dyDescent="0.35">
      <c r="B89">
        <v>87</v>
      </c>
      <c r="C89">
        <f t="shared" si="11"/>
        <v>11.266000000000016</v>
      </c>
      <c r="D89" s="1">
        <f t="shared" si="10"/>
        <v>-0.89670000000000005</v>
      </c>
    </row>
    <row r="90" spans="2:4" x14ac:dyDescent="0.35">
      <c r="B90">
        <v>88</v>
      </c>
      <c r="C90">
        <f t="shared" si="11"/>
        <v>11.384000000000016</v>
      </c>
      <c r="D90" s="1">
        <f t="shared" si="10"/>
        <v>-1.1504000000000001</v>
      </c>
    </row>
    <row r="91" spans="2:4" x14ac:dyDescent="0.35">
      <c r="B91">
        <v>89</v>
      </c>
      <c r="C91">
        <f t="shared" si="11"/>
        <v>11.502000000000017</v>
      </c>
      <c r="D91" s="1">
        <f t="shared" si="10"/>
        <v>-1.3625</v>
      </c>
    </row>
    <row r="92" spans="2:4" x14ac:dyDescent="0.35">
      <c r="B92">
        <v>90</v>
      </c>
      <c r="C92">
        <f t="shared" si="11"/>
        <v>11.620000000000017</v>
      </c>
      <c r="D92" s="1">
        <f t="shared" si="10"/>
        <v>-1.5302</v>
      </c>
    </row>
    <row r="93" spans="2:4" x14ac:dyDescent="0.35">
      <c r="B93">
        <v>91</v>
      </c>
      <c r="C93">
        <f t="shared" si="11"/>
        <v>11.738000000000017</v>
      </c>
      <c r="D93" s="1">
        <f t="shared" si="10"/>
        <v>-1.6509</v>
      </c>
    </row>
    <row r="94" spans="2:4" x14ac:dyDescent="0.35">
      <c r="B94">
        <v>92</v>
      </c>
      <c r="C94">
        <f t="shared" si="11"/>
        <v>11.856000000000018</v>
      </c>
      <c r="D94" s="1">
        <f t="shared" si="10"/>
        <v>-1.7230000000000001</v>
      </c>
    </row>
    <row r="95" spans="2:4" x14ac:dyDescent="0.35">
      <c r="B95">
        <v>93</v>
      </c>
      <c r="C95">
        <f t="shared" si="11"/>
        <v>11.974000000000018</v>
      </c>
      <c r="D95" s="1">
        <f t="shared" si="10"/>
        <v>-1.7453000000000001</v>
      </c>
    </row>
    <row r="96" spans="2:4" x14ac:dyDescent="0.35">
      <c r="B96">
        <v>94</v>
      </c>
      <c r="C96">
        <f t="shared" si="11"/>
        <v>12.092000000000018</v>
      </c>
      <c r="D96" s="1">
        <f t="shared" si="10"/>
        <v>-1.7175</v>
      </c>
    </row>
    <row r="97" spans="2:4" x14ac:dyDescent="0.35">
      <c r="B97">
        <v>95</v>
      </c>
      <c r="C97">
        <f t="shared" si="11"/>
        <v>12.210000000000019</v>
      </c>
      <c r="D97" s="1">
        <f t="shared" si="10"/>
        <v>-1.64</v>
      </c>
    </row>
    <row r="98" spans="2:4" x14ac:dyDescent="0.35">
      <c r="B98">
        <v>96</v>
      </c>
      <c r="C98">
        <f t="shared" si="11"/>
        <v>12.328000000000019</v>
      </c>
      <c r="D98" s="1">
        <f t="shared" si="10"/>
        <v>-1.5136000000000001</v>
      </c>
    </row>
    <row r="99" spans="2:4" x14ac:dyDescent="0.35">
      <c r="B99">
        <v>97</v>
      </c>
      <c r="C99">
        <f t="shared" si="11"/>
        <v>12.446000000000019</v>
      </c>
      <c r="D99" s="1">
        <f t="shared" si="10"/>
        <v>-1.3402000000000001</v>
      </c>
    </row>
    <row r="100" spans="2:4" x14ac:dyDescent="0.35">
      <c r="B100">
        <v>98</v>
      </c>
      <c r="C100">
        <f t="shared" ref="C100:C131" si="12">C99+$C$1</f>
        <v>12.56400000000002</v>
      </c>
      <c r="D100" s="1">
        <f t="shared" si="10"/>
        <v>-1.1220000000000001</v>
      </c>
    </row>
    <row r="101" spans="2:4" x14ac:dyDescent="0.35">
      <c r="B101">
        <v>99</v>
      </c>
      <c r="C101">
        <f t="shared" si="12"/>
        <v>12.68200000000002</v>
      </c>
      <c r="D101" s="1">
        <f t="shared" si="10"/>
        <v>-0.86209999999999998</v>
      </c>
    </row>
    <row r="102" spans="2:4" x14ac:dyDescent="0.35">
      <c r="B102">
        <v>100</v>
      </c>
      <c r="C102">
        <f t="shared" si="12"/>
        <v>12.80000000000002</v>
      </c>
      <c r="D102" s="1">
        <f t="shared" si="10"/>
        <v>-0.56399999999999995</v>
      </c>
    </row>
    <row r="103" spans="2:4" x14ac:dyDescent="0.35">
      <c r="B103">
        <v>101</v>
      </c>
      <c r="C103">
        <f t="shared" si="12"/>
        <v>12.918000000000021</v>
      </c>
      <c r="D103" s="1">
        <f t="shared" si="10"/>
        <v>-0.23180000000000001</v>
      </c>
    </row>
    <row r="104" spans="2:4" x14ac:dyDescent="0.35">
      <c r="B104">
        <v>102</v>
      </c>
      <c r="C104">
        <f t="shared" si="12"/>
        <v>13.036000000000021</v>
      </c>
      <c r="D104" s="1">
        <f t="shared" si="10"/>
        <v>0.13</v>
      </c>
    </row>
    <row r="105" spans="2:4" x14ac:dyDescent="0.35">
      <c r="B105">
        <v>103</v>
      </c>
      <c r="C105">
        <f t="shared" si="12"/>
        <v>13.154000000000021</v>
      </c>
      <c r="D105" s="1">
        <f t="shared" si="10"/>
        <v>0.51639999999999997</v>
      </c>
    </row>
    <row r="106" spans="2:4" x14ac:dyDescent="0.35">
      <c r="B106">
        <v>104</v>
      </c>
      <c r="C106">
        <f t="shared" si="12"/>
        <v>13.272000000000022</v>
      </c>
      <c r="D106" s="1">
        <f t="shared" si="10"/>
        <v>0.92210000000000003</v>
      </c>
    </row>
    <row r="107" spans="2:4" x14ac:dyDescent="0.35">
      <c r="B107">
        <v>105</v>
      </c>
      <c r="C107">
        <f t="shared" si="12"/>
        <v>13.390000000000022</v>
      </c>
      <c r="D107" s="1">
        <f t="shared" si="10"/>
        <v>1.3414999999999999</v>
      </c>
    </row>
    <row r="108" spans="2:4" x14ac:dyDescent="0.35">
      <c r="B108">
        <v>106</v>
      </c>
      <c r="C108">
        <f t="shared" si="12"/>
        <v>13.508000000000022</v>
      </c>
      <c r="D108" s="1">
        <f t="shared" si="10"/>
        <v>1.7686999999999999</v>
      </c>
    </row>
    <row r="109" spans="2:4" x14ac:dyDescent="0.35">
      <c r="B109">
        <v>107</v>
      </c>
      <c r="C109">
        <f t="shared" si="12"/>
        <v>13.626000000000023</v>
      </c>
      <c r="D109" s="1">
        <f t="shared" si="10"/>
        <v>2.198</v>
      </c>
    </row>
    <row r="110" spans="2:4" x14ac:dyDescent="0.35">
      <c r="B110">
        <v>108</v>
      </c>
      <c r="C110">
        <f t="shared" si="12"/>
        <v>13.744000000000023</v>
      </c>
      <c r="D110" s="1">
        <f t="shared" si="10"/>
        <v>2.6234999999999999</v>
      </c>
    </row>
    <row r="111" spans="2:4" x14ac:dyDescent="0.35">
      <c r="B111">
        <v>109</v>
      </c>
      <c r="C111">
        <f t="shared" si="12"/>
        <v>13.862000000000023</v>
      </c>
      <c r="D111" s="1">
        <f t="shared" si="10"/>
        <v>3.0392000000000001</v>
      </c>
    </row>
    <row r="112" spans="2:4" x14ac:dyDescent="0.35">
      <c r="B112">
        <v>110</v>
      </c>
      <c r="C112">
        <f t="shared" si="12"/>
        <v>13.980000000000024</v>
      </c>
      <c r="D112" s="1">
        <f t="shared" si="10"/>
        <v>3.4394</v>
      </c>
    </row>
    <row r="113" spans="2:4" x14ac:dyDescent="0.35">
      <c r="B113">
        <v>111</v>
      </c>
      <c r="C113">
        <f t="shared" si="12"/>
        <v>14.098000000000024</v>
      </c>
      <c r="D113" s="1">
        <f t="shared" si="10"/>
        <v>3.8187000000000002</v>
      </c>
    </row>
    <row r="114" spans="2:4" x14ac:dyDescent="0.35">
      <c r="B114">
        <v>112</v>
      </c>
      <c r="C114">
        <f t="shared" si="12"/>
        <v>14.216000000000024</v>
      </c>
      <c r="D114" s="1">
        <f t="shared" si="10"/>
        <v>4.1718000000000002</v>
      </c>
    </row>
    <row r="115" spans="2:4" x14ac:dyDescent="0.35">
      <c r="B115">
        <v>113</v>
      </c>
      <c r="C115">
        <f t="shared" si="12"/>
        <v>14.334000000000024</v>
      </c>
      <c r="D115" s="1">
        <f t="shared" si="10"/>
        <v>4.4938000000000002</v>
      </c>
    </row>
    <row r="116" spans="2:4" x14ac:dyDescent="0.35">
      <c r="B116">
        <v>114</v>
      </c>
      <c r="C116">
        <f t="shared" si="12"/>
        <v>14.452000000000025</v>
      </c>
      <c r="D116" s="1">
        <f t="shared" si="10"/>
        <v>4.7804000000000002</v>
      </c>
    </row>
    <row r="117" spans="2:4" x14ac:dyDescent="0.35">
      <c r="B117">
        <v>115</v>
      </c>
      <c r="C117">
        <f t="shared" si="12"/>
        <v>14.570000000000025</v>
      </c>
      <c r="D117" s="1">
        <f t="shared" si="10"/>
        <v>5.0275999999999996</v>
      </c>
    </row>
    <row r="118" spans="2:4" x14ac:dyDescent="0.35">
      <c r="B118">
        <v>116</v>
      </c>
      <c r="C118">
        <f t="shared" si="12"/>
        <v>14.688000000000025</v>
      </c>
      <c r="D118" s="1">
        <f t="shared" si="10"/>
        <v>5.2320000000000002</v>
      </c>
    </row>
    <row r="119" spans="2:4" x14ac:dyDescent="0.35">
      <c r="B119">
        <v>117</v>
      </c>
      <c r="C119">
        <f t="shared" si="12"/>
        <v>14.806000000000026</v>
      </c>
      <c r="D119" s="1">
        <f t="shared" si="10"/>
        <v>5.3909000000000002</v>
      </c>
    </row>
    <row r="120" spans="2:4" x14ac:dyDescent="0.35">
      <c r="B120">
        <v>118</v>
      </c>
      <c r="C120">
        <f t="shared" si="12"/>
        <v>14.924000000000026</v>
      </c>
      <c r="D120" s="1">
        <f t="shared" si="10"/>
        <v>5.5019999999999998</v>
      </c>
    </row>
    <row r="121" spans="2:4" x14ac:dyDescent="0.35">
      <c r="B121">
        <v>119</v>
      </c>
      <c r="C121">
        <f t="shared" si="12"/>
        <v>15.042000000000026</v>
      </c>
      <c r="D121" s="1">
        <f t="shared" si="10"/>
        <v>5.5640000000000001</v>
      </c>
    </row>
    <row r="122" spans="2:4" x14ac:dyDescent="0.35">
      <c r="B122">
        <v>120</v>
      </c>
      <c r="C122">
        <f t="shared" si="12"/>
        <v>15.160000000000027</v>
      </c>
      <c r="D122" s="1">
        <f t="shared" si="10"/>
        <v>5.5758999999999999</v>
      </c>
    </row>
    <row r="123" spans="2:4" x14ac:dyDescent="0.35">
      <c r="B123">
        <v>121</v>
      </c>
      <c r="C123">
        <f t="shared" si="12"/>
        <v>15.278000000000027</v>
      </c>
      <c r="D123" s="1">
        <f t="shared" si="10"/>
        <v>5.5377000000000001</v>
      </c>
    </row>
    <row r="124" spans="2:4" x14ac:dyDescent="0.35">
      <c r="B124">
        <v>122</v>
      </c>
      <c r="C124">
        <f t="shared" si="12"/>
        <v>15.396000000000027</v>
      </c>
      <c r="D124" s="1">
        <f t="shared" si="10"/>
        <v>5.4499000000000004</v>
      </c>
    </row>
    <row r="125" spans="2:4" x14ac:dyDescent="0.35">
      <c r="B125">
        <v>123</v>
      </c>
      <c r="C125">
        <f t="shared" si="12"/>
        <v>15.514000000000028</v>
      </c>
      <c r="D125" s="1">
        <f t="shared" si="10"/>
        <v>5.3139000000000003</v>
      </c>
    </row>
    <row r="126" spans="2:4" x14ac:dyDescent="0.35">
      <c r="B126">
        <v>124</v>
      </c>
      <c r="C126">
        <f t="shared" si="12"/>
        <v>15.632000000000028</v>
      </c>
      <c r="D126" s="1">
        <f t="shared" si="10"/>
        <v>5.1315</v>
      </c>
    </row>
    <row r="127" spans="2:4" x14ac:dyDescent="0.35">
      <c r="B127">
        <v>125</v>
      </c>
      <c r="C127">
        <f t="shared" si="12"/>
        <v>15.750000000000028</v>
      </c>
      <c r="D127" s="1">
        <f t="shared" si="10"/>
        <v>4.9054000000000002</v>
      </c>
    </row>
    <row r="128" spans="2:4" x14ac:dyDescent="0.35">
      <c r="B128">
        <v>126</v>
      </c>
      <c r="C128">
        <f t="shared" si="12"/>
        <v>15.868000000000029</v>
      </c>
      <c r="D128" s="1">
        <f t="shared" si="10"/>
        <v>4.6387999999999998</v>
      </c>
    </row>
    <row r="129" spans="2:4" x14ac:dyDescent="0.35">
      <c r="B129">
        <v>127</v>
      </c>
      <c r="C129">
        <f t="shared" si="12"/>
        <v>15.986000000000029</v>
      </c>
      <c r="D129" s="1">
        <f t="shared" si="10"/>
        <v>4.3353999999999999</v>
      </c>
    </row>
    <row r="130" spans="2:4" x14ac:dyDescent="0.35">
      <c r="B130">
        <v>128</v>
      </c>
      <c r="C130">
        <f t="shared" si="12"/>
        <v>16.104000000000028</v>
      </c>
      <c r="D130" s="1">
        <f t="shared" ref="D130:D193" si="13">ROUND(POWER(C130,1/4)+2*SIN(C130)-3*COS(C130),4)</f>
        <v>3.9994999999999998</v>
      </c>
    </row>
    <row r="131" spans="2:4" x14ac:dyDescent="0.35">
      <c r="B131">
        <v>129</v>
      </c>
      <c r="C131">
        <f t="shared" si="12"/>
        <v>16.222000000000026</v>
      </c>
      <c r="D131" s="1">
        <f t="shared" si="13"/>
        <v>3.6358000000000001</v>
      </c>
    </row>
    <row r="132" spans="2:4" x14ac:dyDescent="0.35">
      <c r="B132">
        <v>130</v>
      </c>
      <c r="C132">
        <f t="shared" ref="C132:C163" si="14">C131+$C$1</f>
        <v>16.340000000000025</v>
      </c>
      <c r="D132" s="1">
        <f t="shared" si="13"/>
        <v>3.2494000000000001</v>
      </c>
    </row>
    <row r="133" spans="2:4" x14ac:dyDescent="0.35">
      <c r="B133">
        <v>131</v>
      </c>
      <c r="C133">
        <f t="shared" si="14"/>
        <v>16.458000000000023</v>
      </c>
      <c r="D133" s="1">
        <f t="shared" si="13"/>
        <v>2.8458000000000001</v>
      </c>
    </row>
    <row r="134" spans="2:4" x14ac:dyDescent="0.35">
      <c r="B134">
        <v>132</v>
      </c>
      <c r="C134">
        <f t="shared" si="14"/>
        <v>16.576000000000022</v>
      </c>
      <c r="D134" s="1">
        <f t="shared" si="13"/>
        <v>2.4306000000000001</v>
      </c>
    </row>
    <row r="135" spans="2:4" x14ac:dyDescent="0.35">
      <c r="B135">
        <v>133</v>
      </c>
      <c r="C135">
        <f t="shared" si="14"/>
        <v>16.69400000000002</v>
      </c>
      <c r="D135" s="1">
        <f t="shared" si="13"/>
        <v>2.0097</v>
      </c>
    </row>
    <row r="136" spans="2:4" x14ac:dyDescent="0.35">
      <c r="B136">
        <v>134</v>
      </c>
      <c r="C136">
        <f t="shared" si="14"/>
        <v>16.812000000000019</v>
      </c>
      <c r="D136" s="1">
        <f t="shared" si="13"/>
        <v>1.5888</v>
      </c>
    </row>
    <row r="137" spans="2:4" x14ac:dyDescent="0.35">
      <c r="B137">
        <v>135</v>
      </c>
      <c r="C137">
        <f t="shared" si="14"/>
        <v>16.930000000000017</v>
      </c>
      <c r="D137" s="1">
        <f t="shared" si="13"/>
        <v>1.1740999999999999</v>
      </c>
    </row>
    <row r="138" spans="2:4" x14ac:dyDescent="0.35">
      <c r="B138">
        <v>136</v>
      </c>
      <c r="C138">
        <f t="shared" si="14"/>
        <v>17.048000000000016</v>
      </c>
      <c r="D138" s="1">
        <f t="shared" si="13"/>
        <v>0.77110000000000001</v>
      </c>
    </row>
    <row r="139" spans="2:4" x14ac:dyDescent="0.35">
      <c r="B139">
        <v>137</v>
      </c>
      <c r="C139">
        <f t="shared" si="14"/>
        <v>17.166000000000015</v>
      </c>
      <c r="D139" s="1">
        <f t="shared" si="13"/>
        <v>0.38569999999999999</v>
      </c>
    </row>
    <row r="140" spans="2:4" x14ac:dyDescent="0.35">
      <c r="B140">
        <v>138</v>
      </c>
      <c r="C140">
        <f t="shared" si="14"/>
        <v>17.284000000000013</v>
      </c>
      <c r="D140" s="1">
        <f t="shared" si="13"/>
        <v>2.3300000000000001E-2</v>
      </c>
    </row>
    <row r="141" spans="2:4" x14ac:dyDescent="0.35">
      <c r="B141">
        <v>139</v>
      </c>
      <c r="C141">
        <f t="shared" si="14"/>
        <v>17.402000000000012</v>
      </c>
      <c r="D141" s="1">
        <f t="shared" si="13"/>
        <v>-0.31119999999999998</v>
      </c>
    </row>
    <row r="142" spans="2:4" x14ac:dyDescent="0.35">
      <c r="B142">
        <v>140</v>
      </c>
      <c r="C142">
        <f t="shared" si="14"/>
        <v>17.52000000000001</v>
      </c>
      <c r="D142" s="1">
        <f t="shared" si="13"/>
        <v>-0.6129</v>
      </c>
    </row>
    <row r="143" spans="2:4" x14ac:dyDescent="0.35">
      <c r="B143">
        <v>141</v>
      </c>
      <c r="C143">
        <f t="shared" si="14"/>
        <v>17.638000000000009</v>
      </c>
      <c r="D143" s="1">
        <f t="shared" si="13"/>
        <v>-0.87770000000000004</v>
      </c>
    </row>
    <row r="144" spans="2:4" x14ac:dyDescent="0.35">
      <c r="B144">
        <v>142</v>
      </c>
      <c r="C144">
        <f t="shared" si="14"/>
        <v>17.756000000000007</v>
      </c>
      <c r="D144" s="1">
        <f t="shared" si="13"/>
        <v>-1.1017999999999999</v>
      </c>
    </row>
    <row r="145" spans="2:4" x14ac:dyDescent="0.35">
      <c r="B145">
        <v>143</v>
      </c>
      <c r="C145">
        <f t="shared" si="14"/>
        <v>17.874000000000006</v>
      </c>
      <c r="D145" s="1">
        <f t="shared" si="13"/>
        <v>-1.282</v>
      </c>
    </row>
    <row r="146" spans="2:4" x14ac:dyDescent="0.35">
      <c r="B146">
        <v>144</v>
      </c>
      <c r="C146">
        <f t="shared" si="14"/>
        <v>17.992000000000004</v>
      </c>
      <c r="D146" s="1">
        <f t="shared" si="13"/>
        <v>-1.4157999999999999</v>
      </c>
    </row>
    <row r="147" spans="2:4" x14ac:dyDescent="0.35">
      <c r="B147">
        <v>145</v>
      </c>
      <c r="C147">
        <f t="shared" si="14"/>
        <v>18.110000000000003</v>
      </c>
      <c r="D147" s="1">
        <f t="shared" si="13"/>
        <v>-1.5013000000000001</v>
      </c>
    </row>
    <row r="148" spans="2:4" x14ac:dyDescent="0.35">
      <c r="B148">
        <v>146</v>
      </c>
      <c r="C148">
        <f t="shared" si="14"/>
        <v>18.228000000000002</v>
      </c>
      <c r="D148" s="1">
        <f t="shared" si="13"/>
        <v>-1.5373000000000001</v>
      </c>
    </row>
    <row r="149" spans="2:4" x14ac:dyDescent="0.35">
      <c r="B149">
        <v>147</v>
      </c>
      <c r="C149">
        <f t="shared" si="14"/>
        <v>18.346</v>
      </c>
      <c r="D149" s="1">
        <f t="shared" si="13"/>
        <v>-1.5230999999999999</v>
      </c>
    </row>
    <row r="150" spans="2:4" x14ac:dyDescent="0.35">
      <c r="B150">
        <v>148</v>
      </c>
      <c r="C150">
        <f t="shared" si="14"/>
        <v>18.463999999999999</v>
      </c>
      <c r="D150" s="1">
        <f t="shared" si="13"/>
        <v>-1.4590000000000001</v>
      </c>
    </row>
    <row r="151" spans="2:4" x14ac:dyDescent="0.35">
      <c r="B151">
        <v>149</v>
      </c>
      <c r="C151">
        <f t="shared" si="14"/>
        <v>18.581999999999997</v>
      </c>
      <c r="D151" s="1">
        <f t="shared" si="13"/>
        <v>-1.3458000000000001</v>
      </c>
    </row>
    <row r="152" spans="2:4" x14ac:dyDescent="0.35">
      <c r="B152">
        <v>150</v>
      </c>
      <c r="C152">
        <f t="shared" si="14"/>
        <v>18.699999999999996</v>
      </c>
      <c r="D152" s="1">
        <f t="shared" si="13"/>
        <v>-1.1850000000000001</v>
      </c>
    </row>
    <row r="153" spans="2:4" x14ac:dyDescent="0.35">
      <c r="B153">
        <v>151</v>
      </c>
      <c r="C153">
        <f t="shared" si="14"/>
        <v>18.817999999999994</v>
      </c>
      <c r="D153" s="1">
        <f t="shared" si="13"/>
        <v>-0.9788</v>
      </c>
    </row>
    <row r="154" spans="2:4" x14ac:dyDescent="0.35">
      <c r="B154">
        <v>152</v>
      </c>
      <c r="C154">
        <f t="shared" si="14"/>
        <v>18.935999999999993</v>
      </c>
      <c r="D154" s="1">
        <f t="shared" si="13"/>
        <v>-0.73009999999999997</v>
      </c>
    </row>
    <row r="155" spans="2:4" x14ac:dyDescent="0.35">
      <c r="B155">
        <v>153</v>
      </c>
      <c r="C155">
        <f t="shared" si="14"/>
        <v>19.053999999999991</v>
      </c>
      <c r="D155" s="1">
        <f t="shared" si="13"/>
        <v>-0.44219999999999998</v>
      </c>
    </row>
    <row r="156" spans="2:4" x14ac:dyDescent="0.35">
      <c r="B156">
        <v>154</v>
      </c>
      <c r="C156">
        <f t="shared" si="14"/>
        <v>19.17199999999999</v>
      </c>
      <c r="D156" s="1">
        <f t="shared" si="13"/>
        <v>-0.1191</v>
      </c>
    </row>
    <row r="157" spans="2:4" x14ac:dyDescent="0.35">
      <c r="B157">
        <v>155</v>
      </c>
      <c r="C157">
        <f t="shared" si="14"/>
        <v>19.289999999999988</v>
      </c>
      <c r="D157" s="1">
        <f t="shared" si="13"/>
        <v>0.23469999999999999</v>
      </c>
    </row>
    <row r="158" spans="2:4" x14ac:dyDescent="0.35">
      <c r="B158">
        <v>156</v>
      </c>
      <c r="C158">
        <f t="shared" si="14"/>
        <v>19.407999999999987</v>
      </c>
      <c r="D158" s="1">
        <f t="shared" si="13"/>
        <v>0.61439999999999995</v>
      </c>
    </row>
    <row r="159" spans="2:4" x14ac:dyDescent="0.35">
      <c r="B159">
        <v>157</v>
      </c>
      <c r="C159">
        <f t="shared" si="14"/>
        <v>19.525999999999986</v>
      </c>
      <c r="D159" s="1">
        <f t="shared" si="13"/>
        <v>1.0146999999999999</v>
      </c>
    </row>
    <row r="160" spans="2:4" x14ac:dyDescent="0.35">
      <c r="B160">
        <v>158</v>
      </c>
      <c r="C160">
        <f t="shared" si="14"/>
        <v>19.643999999999984</v>
      </c>
      <c r="D160" s="1">
        <f t="shared" si="13"/>
        <v>1.4301999999999999</v>
      </c>
    </row>
    <row r="161" spans="2:4" x14ac:dyDescent="0.35">
      <c r="B161">
        <v>159</v>
      </c>
      <c r="C161">
        <f t="shared" si="14"/>
        <v>19.761999999999983</v>
      </c>
      <c r="D161" s="1">
        <f t="shared" si="13"/>
        <v>1.855</v>
      </c>
    </row>
    <row r="162" spans="2:4" x14ac:dyDescent="0.35">
      <c r="B162">
        <v>160</v>
      </c>
      <c r="C162">
        <f t="shared" si="14"/>
        <v>19.879999999999981</v>
      </c>
      <c r="D162" s="1">
        <f t="shared" si="13"/>
        <v>2.2833000000000001</v>
      </c>
    </row>
    <row r="163" spans="2:4" x14ac:dyDescent="0.35">
      <c r="B163">
        <v>161</v>
      </c>
      <c r="C163">
        <f t="shared" si="14"/>
        <v>19.99799999999998</v>
      </c>
      <c r="D163" s="1">
        <f t="shared" si="13"/>
        <v>2.7092000000000001</v>
      </c>
    </row>
    <row r="164" spans="2:4" x14ac:dyDescent="0.35">
      <c r="B164">
        <v>162</v>
      </c>
      <c r="C164">
        <f t="shared" ref="C164:C195" si="15">C163+$C$1</f>
        <v>20.115999999999978</v>
      </c>
      <c r="D164" s="1">
        <f t="shared" si="13"/>
        <v>3.1269</v>
      </c>
    </row>
    <row r="165" spans="2:4" x14ac:dyDescent="0.35">
      <c r="B165">
        <v>163</v>
      </c>
      <c r="C165">
        <f t="shared" si="15"/>
        <v>20.233999999999977</v>
      </c>
      <c r="D165" s="1">
        <f t="shared" si="13"/>
        <v>3.5304000000000002</v>
      </c>
    </row>
    <row r="166" spans="2:4" x14ac:dyDescent="0.35">
      <c r="B166">
        <v>164</v>
      </c>
      <c r="C166">
        <f t="shared" si="15"/>
        <v>20.351999999999975</v>
      </c>
      <c r="D166" s="1">
        <f t="shared" si="13"/>
        <v>3.9144000000000001</v>
      </c>
    </row>
    <row r="167" spans="2:4" x14ac:dyDescent="0.35">
      <c r="B167">
        <v>165</v>
      </c>
      <c r="C167">
        <f t="shared" si="15"/>
        <v>20.469999999999974</v>
      </c>
      <c r="D167" s="1">
        <f t="shared" si="13"/>
        <v>4.2735000000000003</v>
      </c>
    </row>
    <row r="168" spans="2:4" x14ac:dyDescent="0.35">
      <c r="B168">
        <v>166</v>
      </c>
      <c r="C168">
        <f t="shared" si="15"/>
        <v>20.587999999999973</v>
      </c>
      <c r="D168" s="1">
        <f t="shared" si="13"/>
        <v>4.6026999999999996</v>
      </c>
    </row>
    <row r="169" spans="2:4" x14ac:dyDescent="0.35">
      <c r="B169">
        <v>167</v>
      </c>
      <c r="C169">
        <f t="shared" si="15"/>
        <v>20.705999999999971</v>
      </c>
      <c r="D169" s="1">
        <f t="shared" si="13"/>
        <v>4.8975</v>
      </c>
    </row>
    <row r="170" spans="2:4" x14ac:dyDescent="0.35">
      <c r="B170">
        <v>168</v>
      </c>
      <c r="C170">
        <f t="shared" si="15"/>
        <v>20.82399999999997</v>
      </c>
      <c r="D170" s="1">
        <f t="shared" si="13"/>
        <v>5.1538000000000004</v>
      </c>
    </row>
    <row r="171" spans="2:4" x14ac:dyDescent="0.35">
      <c r="B171">
        <v>169</v>
      </c>
      <c r="C171">
        <f t="shared" si="15"/>
        <v>20.941999999999968</v>
      </c>
      <c r="D171" s="1">
        <f t="shared" si="13"/>
        <v>5.3681000000000001</v>
      </c>
    </row>
    <row r="172" spans="2:4" x14ac:dyDescent="0.35">
      <c r="B172">
        <v>170</v>
      </c>
      <c r="C172">
        <f t="shared" si="15"/>
        <v>21.059999999999967</v>
      </c>
      <c r="D172" s="1">
        <f t="shared" si="13"/>
        <v>5.5376000000000003</v>
      </c>
    </row>
    <row r="173" spans="2:4" x14ac:dyDescent="0.35">
      <c r="B173">
        <v>171</v>
      </c>
      <c r="C173">
        <f t="shared" si="15"/>
        <v>21.177999999999965</v>
      </c>
      <c r="D173" s="1">
        <f t="shared" si="13"/>
        <v>5.6597999999999997</v>
      </c>
    </row>
    <row r="174" spans="2:4" x14ac:dyDescent="0.35">
      <c r="B174">
        <v>172</v>
      </c>
      <c r="C174">
        <f t="shared" si="15"/>
        <v>21.295999999999964</v>
      </c>
      <c r="D174" s="1">
        <f t="shared" si="13"/>
        <v>5.7331000000000003</v>
      </c>
    </row>
    <row r="175" spans="2:4" x14ac:dyDescent="0.35">
      <c r="B175">
        <v>173</v>
      </c>
      <c r="C175">
        <f t="shared" si="15"/>
        <v>21.413999999999962</v>
      </c>
      <c r="D175" s="1">
        <f t="shared" si="13"/>
        <v>5.7565</v>
      </c>
    </row>
    <row r="176" spans="2:4" x14ac:dyDescent="0.35">
      <c r="B176">
        <v>174</v>
      </c>
      <c r="C176">
        <f t="shared" si="15"/>
        <v>21.531999999999961</v>
      </c>
      <c r="D176" s="1">
        <f t="shared" si="13"/>
        <v>5.7298</v>
      </c>
    </row>
    <row r="177" spans="2:4" x14ac:dyDescent="0.35">
      <c r="B177">
        <v>175</v>
      </c>
      <c r="C177">
        <f t="shared" si="15"/>
        <v>21.649999999999959</v>
      </c>
      <c r="D177" s="1">
        <f t="shared" si="13"/>
        <v>5.6532999999999998</v>
      </c>
    </row>
    <row r="178" spans="2:4" x14ac:dyDescent="0.35">
      <c r="B178">
        <v>176</v>
      </c>
      <c r="C178">
        <f t="shared" si="15"/>
        <v>21.767999999999958</v>
      </c>
      <c r="D178" s="1">
        <f t="shared" si="13"/>
        <v>5.5282</v>
      </c>
    </row>
    <row r="179" spans="2:4" x14ac:dyDescent="0.35">
      <c r="B179">
        <v>177</v>
      </c>
      <c r="C179">
        <f t="shared" si="15"/>
        <v>21.885999999999957</v>
      </c>
      <c r="D179" s="1">
        <f t="shared" si="13"/>
        <v>5.3563000000000001</v>
      </c>
    </row>
    <row r="180" spans="2:4" x14ac:dyDescent="0.35">
      <c r="B180">
        <v>178</v>
      </c>
      <c r="C180">
        <f t="shared" si="15"/>
        <v>22.003999999999955</v>
      </c>
      <c r="D180" s="1">
        <f t="shared" si="13"/>
        <v>5.1398999999999999</v>
      </c>
    </row>
    <row r="181" spans="2:4" x14ac:dyDescent="0.35">
      <c r="B181">
        <v>179</v>
      </c>
      <c r="C181">
        <f t="shared" si="15"/>
        <v>22.121999999999954</v>
      </c>
      <c r="D181" s="1">
        <f t="shared" si="13"/>
        <v>4.8821000000000003</v>
      </c>
    </row>
    <row r="182" spans="2:4" x14ac:dyDescent="0.35">
      <c r="B182">
        <v>180</v>
      </c>
      <c r="C182">
        <f t="shared" si="15"/>
        <v>22.239999999999952</v>
      </c>
      <c r="D182" s="1">
        <f t="shared" si="13"/>
        <v>4.5865999999999998</v>
      </c>
    </row>
    <row r="183" spans="2:4" x14ac:dyDescent="0.35">
      <c r="B183">
        <v>181</v>
      </c>
      <c r="C183">
        <f t="shared" si="15"/>
        <v>22.357999999999951</v>
      </c>
      <c r="D183" s="1">
        <f t="shared" si="13"/>
        <v>4.2575000000000003</v>
      </c>
    </row>
    <row r="184" spans="2:4" x14ac:dyDescent="0.35">
      <c r="B184">
        <v>182</v>
      </c>
      <c r="C184">
        <f t="shared" si="15"/>
        <v>22.475999999999949</v>
      </c>
      <c r="D184" s="1">
        <f t="shared" si="13"/>
        <v>3.8994</v>
      </c>
    </row>
    <row r="185" spans="2:4" x14ac:dyDescent="0.35">
      <c r="B185">
        <v>183</v>
      </c>
      <c r="C185">
        <f t="shared" si="15"/>
        <v>22.593999999999948</v>
      </c>
      <c r="D185" s="1">
        <f t="shared" si="13"/>
        <v>3.5173999999999999</v>
      </c>
    </row>
    <row r="186" spans="2:4" x14ac:dyDescent="0.35">
      <c r="B186">
        <v>184</v>
      </c>
      <c r="C186">
        <f t="shared" si="15"/>
        <v>22.711999999999946</v>
      </c>
      <c r="D186" s="1">
        <f t="shared" si="13"/>
        <v>3.1166999999999998</v>
      </c>
    </row>
    <row r="187" spans="2:4" x14ac:dyDescent="0.35">
      <c r="B187">
        <v>185</v>
      </c>
      <c r="C187">
        <f t="shared" si="15"/>
        <v>22.829999999999945</v>
      </c>
      <c r="D187" s="1">
        <f t="shared" si="13"/>
        <v>2.7031000000000001</v>
      </c>
    </row>
    <row r="188" spans="2:4" x14ac:dyDescent="0.35">
      <c r="B188">
        <v>186</v>
      </c>
      <c r="C188">
        <f t="shared" si="15"/>
        <v>22.947999999999944</v>
      </c>
      <c r="D188" s="1">
        <f t="shared" si="13"/>
        <v>2.2822</v>
      </c>
    </row>
    <row r="189" spans="2:4" x14ac:dyDescent="0.35">
      <c r="B189">
        <v>187</v>
      </c>
      <c r="C189">
        <f t="shared" si="15"/>
        <v>23.065999999999942</v>
      </c>
      <c r="D189" s="1">
        <f t="shared" si="13"/>
        <v>1.8601000000000001</v>
      </c>
    </row>
    <row r="190" spans="2:4" x14ac:dyDescent="0.35">
      <c r="B190">
        <v>188</v>
      </c>
      <c r="C190">
        <f t="shared" si="15"/>
        <v>23.183999999999941</v>
      </c>
      <c r="D190" s="1">
        <f t="shared" si="13"/>
        <v>1.4424999999999999</v>
      </c>
    </row>
    <row r="191" spans="2:4" x14ac:dyDescent="0.35">
      <c r="B191">
        <v>189</v>
      </c>
      <c r="C191">
        <f t="shared" si="15"/>
        <v>23.301999999999939</v>
      </c>
      <c r="D191" s="1">
        <f t="shared" si="13"/>
        <v>1.0354000000000001</v>
      </c>
    </row>
    <row r="192" spans="2:4" x14ac:dyDescent="0.35">
      <c r="B192">
        <v>190</v>
      </c>
      <c r="C192">
        <f t="shared" si="15"/>
        <v>23.419999999999938</v>
      </c>
      <c r="D192" s="1">
        <f t="shared" si="13"/>
        <v>0.64439999999999997</v>
      </c>
    </row>
    <row r="193" spans="2:4" x14ac:dyDescent="0.35">
      <c r="B193">
        <v>191</v>
      </c>
      <c r="C193">
        <f t="shared" si="15"/>
        <v>23.537999999999936</v>
      </c>
      <c r="D193" s="1">
        <f t="shared" si="13"/>
        <v>0.27500000000000002</v>
      </c>
    </row>
    <row r="194" spans="2:4" x14ac:dyDescent="0.35">
      <c r="B194">
        <v>192</v>
      </c>
      <c r="C194">
        <f t="shared" si="15"/>
        <v>23.655999999999935</v>
      </c>
      <c r="D194" s="1">
        <f t="shared" ref="D194:D202" si="16">ROUND(POWER(C194,1/4)+2*SIN(C194)-3*COS(C194),4)</f>
        <v>-6.7500000000000004E-2</v>
      </c>
    </row>
    <row r="195" spans="2:4" x14ac:dyDescent="0.35">
      <c r="B195">
        <v>193</v>
      </c>
      <c r="C195">
        <f t="shared" si="15"/>
        <v>23.773999999999933</v>
      </c>
      <c r="D195" s="1">
        <f t="shared" si="16"/>
        <v>-0.3785</v>
      </c>
    </row>
    <row r="196" spans="2:4" x14ac:dyDescent="0.35">
      <c r="B196">
        <v>194</v>
      </c>
      <c r="C196">
        <f t="shared" ref="C196:C202" si="17">C195+$C$1</f>
        <v>23.891999999999932</v>
      </c>
      <c r="D196" s="1">
        <f t="shared" si="16"/>
        <v>-0.65349999999999997</v>
      </c>
    </row>
    <row r="197" spans="2:4" x14ac:dyDescent="0.35">
      <c r="B197">
        <v>195</v>
      </c>
      <c r="C197">
        <f t="shared" si="17"/>
        <v>24.009999999999931</v>
      </c>
      <c r="D197" s="1">
        <f t="shared" si="16"/>
        <v>-0.88859999999999995</v>
      </c>
    </row>
    <row r="198" spans="2:4" x14ac:dyDescent="0.35">
      <c r="B198">
        <v>196</v>
      </c>
      <c r="C198">
        <f t="shared" si="17"/>
        <v>24.127999999999929</v>
      </c>
      <c r="D198" s="1">
        <f t="shared" si="16"/>
        <v>-1.0807</v>
      </c>
    </row>
    <row r="199" spans="2:4" x14ac:dyDescent="0.35">
      <c r="B199">
        <v>197</v>
      </c>
      <c r="C199">
        <f t="shared" si="17"/>
        <v>24.245999999999928</v>
      </c>
      <c r="D199" s="1">
        <f t="shared" si="16"/>
        <v>-1.2267999999999999</v>
      </c>
    </row>
    <row r="200" spans="2:4" x14ac:dyDescent="0.35">
      <c r="B200">
        <v>198</v>
      </c>
      <c r="C200">
        <f t="shared" si="17"/>
        <v>24.363999999999926</v>
      </c>
      <c r="D200" s="1">
        <f t="shared" si="16"/>
        <v>-1.3250999999999999</v>
      </c>
    </row>
    <row r="201" spans="2:4" x14ac:dyDescent="0.35">
      <c r="B201">
        <v>199</v>
      </c>
      <c r="C201">
        <f t="shared" si="17"/>
        <v>24.481999999999925</v>
      </c>
      <c r="D201" s="1">
        <f t="shared" si="16"/>
        <v>-1.3741000000000001</v>
      </c>
    </row>
    <row r="202" spans="2:4" x14ac:dyDescent="0.35">
      <c r="B202">
        <v>200</v>
      </c>
      <c r="C202">
        <f t="shared" si="17"/>
        <v>24.599999999999923</v>
      </c>
      <c r="D202" s="1">
        <f t="shared" si="16"/>
        <v>-1.373</v>
      </c>
    </row>
  </sheetData>
  <mergeCells count="2">
    <mergeCell ref="F11:H11"/>
    <mergeCell ref="F29:H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9E61-A718-4F3A-81CB-DB18EE75D4B8}">
  <dimension ref="B1:Q202"/>
  <sheetViews>
    <sheetView topLeftCell="A39" workbookViewId="0">
      <selection activeCell="O44" sqref="O44"/>
    </sheetView>
  </sheetViews>
  <sheetFormatPr defaultRowHeight="14.5" x14ac:dyDescent="0.35"/>
  <cols>
    <col min="9" max="9" width="11.36328125" bestFit="1" customWidth="1"/>
    <col min="10" max="12" width="12" bestFit="1" customWidth="1"/>
    <col min="13" max="13" width="11.36328125" bestFit="1" customWidth="1"/>
    <col min="14" max="14" width="12" bestFit="1" customWidth="1"/>
    <col min="15" max="15" width="11.36328125" bestFit="1" customWidth="1"/>
  </cols>
  <sheetData>
    <row r="1" spans="2:17" x14ac:dyDescent="0.35">
      <c r="B1" t="s">
        <v>30</v>
      </c>
      <c r="C1">
        <v>0.11799999999999999</v>
      </c>
      <c r="D1" t="s">
        <v>29</v>
      </c>
      <c r="E1" s="35">
        <v>15.237</v>
      </c>
      <c r="F1" s="35">
        <f>(E1-C2)/C1</f>
        <v>120.65254237288136</v>
      </c>
      <c r="I1" t="s">
        <v>27</v>
      </c>
      <c r="J1" t="s">
        <v>22</v>
      </c>
      <c r="K1" t="s">
        <v>26</v>
      </c>
      <c r="L1" t="s">
        <v>21</v>
      </c>
      <c r="M1" t="s">
        <v>25</v>
      </c>
      <c r="N1" t="s">
        <v>20</v>
      </c>
      <c r="O1" t="s">
        <v>24</v>
      </c>
    </row>
    <row r="2" spans="2:17" x14ac:dyDescent="0.35">
      <c r="B2">
        <v>0</v>
      </c>
      <c r="C2">
        <v>1</v>
      </c>
      <c r="D2" s="1">
        <f t="shared" ref="D2:D65" si="0">ROUND(POWER(C2,1/4)+2*SIN(C2)-3*COS(C2),4)</f>
        <v>1.0620000000000001</v>
      </c>
      <c r="F2">
        <v>7</v>
      </c>
      <c r="G2">
        <f>ROUND(F1-F2/2,0.5)</f>
        <v>117</v>
      </c>
      <c r="H2">
        <f t="shared" ref="H2:H8" si="1">VLOOKUP(G2,B2:D202,2)</f>
        <v>14.806000000000026</v>
      </c>
      <c r="I2" s="1">
        <f t="shared" ref="I2:I8" si="2">VLOOKUP(G2,B2:D202,3)</f>
        <v>5.3909000000000002</v>
      </c>
      <c r="J2" s="26"/>
      <c r="K2" s="26"/>
      <c r="L2" s="26"/>
      <c r="M2" s="26"/>
      <c r="N2" s="26"/>
      <c r="O2" s="26"/>
      <c r="P2" s="26"/>
    </row>
    <row r="3" spans="2:17" x14ac:dyDescent="0.35">
      <c r="B3">
        <v>1</v>
      </c>
      <c r="C3">
        <f>B3+$C$1</f>
        <v>1.1179999999999999</v>
      </c>
      <c r="D3" s="1">
        <f t="shared" si="0"/>
        <v>1.5143</v>
      </c>
      <c r="G3">
        <f t="shared" ref="G3:G8" si="3">G2+1</f>
        <v>118</v>
      </c>
      <c r="H3">
        <f t="shared" si="1"/>
        <v>14.924000000000026</v>
      </c>
      <c r="I3" s="1">
        <f t="shared" si="2"/>
        <v>5.5019999999999998</v>
      </c>
      <c r="J3" s="26">
        <f t="shared" ref="J3:J8" si="4">I3-I2</f>
        <v>0.11109999999999953</v>
      </c>
      <c r="K3" s="26"/>
      <c r="L3" s="26"/>
      <c r="M3" s="26"/>
      <c r="N3" s="26"/>
      <c r="O3" s="26"/>
      <c r="P3" s="26"/>
    </row>
    <row r="4" spans="2:17" x14ac:dyDescent="0.35">
      <c r="B4">
        <v>2</v>
      </c>
      <c r="C4">
        <f t="shared" ref="C4:C35" si="5">C3+$C$1</f>
        <v>1.2359999999999998</v>
      </c>
      <c r="D4" s="1">
        <f t="shared" si="0"/>
        <v>1.9576</v>
      </c>
      <c r="G4">
        <f t="shared" si="3"/>
        <v>119</v>
      </c>
      <c r="H4">
        <f t="shared" si="1"/>
        <v>15.042000000000026</v>
      </c>
      <c r="I4" s="1">
        <f t="shared" si="2"/>
        <v>5.5640000000000001</v>
      </c>
      <c r="J4" s="26">
        <f t="shared" si="4"/>
        <v>6.2000000000000277E-2</v>
      </c>
      <c r="K4" s="26">
        <f>J4-J3</f>
        <v>-4.9099999999999255E-2</v>
      </c>
      <c r="L4" s="26"/>
      <c r="M4" s="26"/>
      <c r="N4" s="26"/>
      <c r="O4" s="26"/>
      <c r="P4" s="26"/>
    </row>
    <row r="5" spans="2:17" x14ac:dyDescent="0.35">
      <c r="B5">
        <v>3</v>
      </c>
      <c r="C5">
        <f t="shared" si="5"/>
        <v>1.3539999999999996</v>
      </c>
      <c r="D5" s="1">
        <f t="shared" si="0"/>
        <v>2.3866000000000001</v>
      </c>
      <c r="G5">
        <f t="shared" si="3"/>
        <v>120</v>
      </c>
      <c r="H5" s="17">
        <f t="shared" si="1"/>
        <v>15.160000000000027</v>
      </c>
      <c r="I5" s="37">
        <f t="shared" si="2"/>
        <v>5.5758999999999999</v>
      </c>
      <c r="J5" s="38">
        <f t="shared" si="4"/>
        <v>1.18999999999998E-2</v>
      </c>
      <c r="K5" s="26">
        <f>J5-J4</f>
        <v>-5.0100000000000477E-2</v>
      </c>
      <c r="L5" s="26">
        <f>K5-K4</f>
        <v>-1.0000000000012221E-3</v>
      </c>
      <c r="M5" s="26"/>
      <c r="N5" s="26"/>
      <c r="O5" s="26"/>
      <c r="P5" s="26"/>
    </row>
    <row r="6" spans="2:17" x14ac:dyDescent="0.35">
      <c r="B6">
        <v>4</v>
      </c>
      <c r="C6">
        <f t="shared" si="5"/>
        <v>1.4719999999999995</v>
      </c>
      <c r="D6" s="1">
        <f t="shared" si="0"/>
        <v>2.7957999999999998</v>
      </c>
      <c r="G6">
        <f t="shared" si="3"/>
        <v>121</v>
      </c>
      <c r="H6" s="40">
        <f t="shared" si="1"/>
        <v>15.278000000000027</v>
      </c>
      <c r="I6" s="39">
        <f t="shared" si="2"/>
        <v>5.5377000000000001</v>
      </c>
      <c r="J6" s="36">
        <f t="shared" si="4"/>
        <v>-3.819999999999979E-2</v>
      </c>
      <c r="K6" s="36">
        <f>J6-J5</f>
        <v>-5.0099999999999589E-2</v>
      </c>
      <c r="L6" s="38">
        <f>K6-K5</f>
        <v>8.8817841970012523E-16</v>
      </c>
      <c r="M6" s="26">
        <f>L6-L5</f>
        <v>1.0000000000021103E-3</v>
      </c>
      <c r="N6" s="26"/>
      <c r="O6" s="26"/>
      <c r="P6" s="26"/>
    </row>
    <row r="7" spans="2:17" x14ac:dyDescent="0.35">
      <c r="B7">
        <v>5</v>
      </c>
      <c r="C7">
        <f t="shared" si="5"/>
        <v>1.5899999999999994</v>
      </c>
      <c r="D7" s="1">
        <f t="shared" si="0"/>
        <v>3.1802000000000001</v>
      </c>
      <c r="G7">
        <f t="shared" si="3"/>
        <v>122</v>
      </c>
      <c r="H7">
        <f t="shared" si="1"/>
        <v>15.396000000000027</v>
      </c>
      <c r="I7" s="1">
        <f t="shared" si="2"/>
        <v>5.4499000000000004</v>
      </c>
      <c r="J7" s="26">
        <f t="shared" si="4"/>
        <v>-8.7799999999999656E-2</v>
      </c>
      <c r="K7" s="26">
        <f>J7-J6</f>
        <v>-4.9599999999999866E-2</v>
      </c>
      <c r="L7" s="36">
        <f>K7-K6</f>
        <v>4.9999999999972289E-4</v>
      </c>
      <c r="M7" s="36">
        <f>L7-L6</f>
        <v>4.9999999999883471E-4</v>
      </c>
      <c r="N7" s="38">
        <f>M7-M6</f>
        <v>-5.000000000032756E-4</v>
      </c>
      <c r="O7" s="26"/>
      <c r="P7" s="26"/>
    </row>
    <row r="8" spans="2:17" x14ac:dyDescent="0.35">
      <c r="B8">
        <v>6</v>
      </c>
      <c r="C8">
        <f t="shared" si="5"/>
        <v>1.7079999999999993</v>
      </c>
      <c r="D8" s="1">
        <f t="shared" si="0"/>
        <v>3.5347</v>
      </c>
      <c r="G8">
        <f t="shared" si="3"/>
        <v>123</v>
      </c>
      <c r="H8">
        <f t="shared" si="1"/>
        <v>15.514000000000028</v>
      </c>
      <c r="I8" s="1">
        <f t="shared" si="2"/>
        <v>5.3139000000000003</v>
      </c>
      <c r="J8" s="26">
        <f t="shared" si="4"/>
        <v>-0.13600000000000012</v>
      </c>
      <c r="K8" s="26">
        <f>J8-J7</f>
        <v>-4.8200000000000465E-2</v>
      </c>
      <c r="L8" s="26">
        <f>K8-K7</f>
        <v>1.3999999999994017E-3</v>
      </c>
      <c r="M8" s="26">
        <f>L8-L7</f>
        <v>8.9999999999967883E-4</v>
      </c>
      <c r="N8" s="36">
        <f>M8-M7</f>
        <v>4.0000000000084412E-4</v>
      </c>
      <c r="O8" s="36">
        <f>N8-N7</f>
        <v>9.0000000000411973E-4</v>
      </c>
      <c r="P8" s="26"/>
    </row>
    <row r="9" spans="2:17" x14ac:dyDescent="0.35">
      <c r="B9">
        <v>7</v>
      </c>
      <c r="C9">
        <f t="shared" si="5"/>
        <v>1.8259999999999992</v>
      </c>
      <c r="D9" s="1">
        <f t="shared" si="0"/>
        <v>3.855</v>
      </c>
      <c r="I9" s="1"/>
      <c r="J9" s="26"/>
      <c r="K9" s="26"/>
      <c r="L9" s="26"/>
      <c r="M9" s="26"/>
      <c r="N9" s="36"/>
      <c r="O9" s="36"/>
      <c r="P9" s="38"/>
    </row>
    <row r="10" spans="2:17" x14ac:dyDescent="0.35">
      <c r="B10">
        <v>8</v>
      </c>
      <c r="C10">
        <f t="shared" si="5"/>
        <v>1.9439999999999991</v>
      </c>
      <c r="D10" s="1">
        <f t="shared" si="0"/>
        <v>4.1368999999999998</v>
      </c>
      <c r="I10" s="1"/>
      <c r="J10" s="26"/>
      <c r="K10" s="26"/>
      <c r="L10" s="26"/>
      <c r="M10" s="26"/>
      <c r="N10" s="26"/>
      <c r="O10" s="26"/>
      <c r="P10" s="36"/>
      <c r="Q10" s="36"/>
    </row>
    <row r="11" spans="2:17" ht="15" thickBot="1" x14ac:dyDescent="0.4">
      <c r="B11">
        <v>9</v>
      </c>
      <c r="C11">
        <f t="shared" si="5"/>
        <v>2.0619999999999989</v>
      </c>
      <c r="D11" s="1">
        <f t="shared" si="0"/>
        <v>4.3769</v>
      </c>
      <c r="F11" s="47" t="s">
        <v>2</v>
      </c>
      <c r="G11" s="47"/>
      <c r="H11" s="47"/>
      <c r="I11" s="24">
        <f>I6</f>
        <v>5.5377000000000001</v>
      </c>
      <c r="J11" s="37">
        <f>J6</f>
        <v>-3.819999999999979E-2</v>
      </c>
      <c r="K11" s="37">
        <f>K6</f>
        <v>-5.0099999999999589E-2</v>
      </c>
      <c r="L11" s="37">
        <f>L7</f>
        <v>4.9999999999972289E-4</v>
      </c>
      <c r="M11" s="37">
        <f>M7</f>
        <v>4.9999999999883471E-4</v>
      </c>
      <c r="N11" s="37">
        <f>N8</f>
        <v>4.0000000000084412E-4</v>
      </c>
      <c r="O11" s="37">
        <f>O8</f>
        <v>9.0000000000411973E-4</v>
      </c>
      <c r="P11" s="37"/>
      <c r="Q11" s="36"/>
    </row>
    <row r="12" spans="2:17" ht="15" thickBot="1" x14ac:dyDescent="0.4">
      <c r="B12">
        <v>10</v>
      </c>
      <c r="C12">
        <f t="shared" si="5"/>
        <v>2.1799999999999988</v>
      </c>
      <c r="D12" s="1">
        <f t="shared" si="0"/>
        <v>4.5720000000000001</v>
      </c>
      <c r="I12" s="22">
        <f>I11</f>
        <v>5.5377000000000001</v>
      </c>
      <c r="J12" s="21">
        <f>J11</f>
        <v>-3.819999999999979E-2</v>
      </c>
      <c r="K12" s="20">
        <f>K11/2</f>
        <v>-2.5049999999999795E-2</v>
      </c>
      <c r="L12" s="20">
        <f>L11/6</f>
        <v>8.3333333333287144E-5</v>
      </c>
      <c r="M12" s="20">
        <f>M11/24</f>
        <v>2.0833333333284781E-5</v>
      </c>
      <c r="N12" s="20">
        <f>N11/120</f>
        <v>3.3333333333403675E-6</v>
      </c>
      <c r="O12" s="19">
        <f>O11/720</f>
        <v>1.2500000000057218E-6</v>
      </c>
    </row>
    <row r="13" spans="2:17" ht="15" thickBot="1" x14ac:dyDescent="0.4">
      <c r="B13">
        <v>11</v>
      </c>
      <c r="C13">
        <f t="shared" si="5"/>
        <v>2.2979999999999987</v>
      </c>
      <c r="D13" s="1">
        <f t="shared" si="0"/>
        <v>4.7195999999999998</v>
      </c>
    </row>
    <row r="14" spans="2:17" x14ac:dyDescent="0.35">
      <c r="B14">
        <v>12</v>
      </c>
      <c r="C14">
        <f t="shared" si="5"/>
        <v>2.4159999999999986</v>
      </c>
      <c r="D14" s="1">
        <f t="shared" si="0"/>
        <v>4.8182</v>
      </c>
      <c r="I14" s="11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9">
        <v>1</v>
      </c>
    </row>
    <row r="15" spans="2:17" x14ac:dyDescent="0.35">
      <c r="B15">
        <v>13</v>
      </c>
      <c r="C15">
        <f t="shared" si="5"/>
        <v>2.5339999999999985</v>
      </c>
      <c r="D15" s="1">
        <f t="shared" si="0"/>
        <v>4.8665000000000003</v>
      </c>
      <c r="H15">
        <v>0</v>
      </c>
      <c r="I15" s="8" cm="1">
        <f t="array" ref="I15:O15">J14:P14-H15*I14:O14</f>
        <v>0</v>
      </c>
      <c r="J15">
        <v>0</v>
      </c>
      <c r="K15">
        <v>0</v>
      </c>
      <c r="L15">
        <v>0</v>
      </c>
      <c r="M15">
        <v>0</v>
      </c>
      <c r="N15">
        <v>1</v>
      </c>
      <c r="O15" s="7">
        <v>0</v>
      </c>
    </row>
    <row r="16" spans="2:17" x14ac:dyDescent="0.35">
      <c r="B16">
        <v>14</v>
      </c>
      <c r="C16">
        <f t="shared" si="5"/>
        <v>2.6519999999999984</v>
      </c>
      <c r="D16" s="1">
        <f t="shared" si="0"/>
        <v>4.8642000000000003</v>
      </c>
      <c r="H16">
        <v>1</v>
      </c>
      <c r="I16" s="8" cm="1">
        <f t="array" ref="I16:O16">J15:P15-H16*I15:O15</f>
        <v>0</v>
      </c>
      <c r="J16">
        <v>0</v>
      </c>
      <c r="K16">
        <v>0</v>
      </c>
      <c r="L16">
        <v>0</v>
      </c>
      <c r="M16">
        <v>1</v>
      </c>
      <c r="N16">
        <v>-1</v>
      </c>
      <c r="O16" s="7">
        <v>0</v>
      </c>
    </row>
    <row r="17" spans="2:17" x14ac:dyDescent="0.35">
      <c r="B17">
        <v>15</v>
      </c>
      <c r="C17">
        <f t="shared" si="5"/>
        <v>2.7699999999999982</v>
      </c>
      <c r="D17" s="1">
        <f t="shared" si="0"/>
        <v>4.8114999999999997</v>
      </c>
      <c r="H17">
        <v>-1</v>
      </c>
      <c r="I17" s="8" cm="1">
        <f t="array" ref="I17:O17">J16:P16-H17*I16:O16</f>
        <v>0</v>
      </c>
      <c r="J17">
        <v>0</v>
      </c>
      <c r="K17">
        <v>0</v>
      </c>
      <c r="L17">
        <v>1</v>
      </c>
      <c r="M17">
        <v>0</v>
      </c>
      <c r="N17">
        <v>-1</v>
      </c>
      <c r="O17" s="7">
        <v>0</v>
      </c>
    </row>
    <row r="18" spans="2:17" x14ac:dyDescent="0.35">
      <c r="B18">
        <v>16</v>
      </c>
      <c r="C18">
        <f t="shared" si="5"/>
        <v>2.8879999999999981</v>
      </c>
      <c r="D18" s="1">
        <f t="shared" si="0"/>
        <v>4.7093999999999996</v>
      </c>
      <c r="H18">
        <v>2</v>
      </c>
      <c r="I18" s="8" cm="1">
        <f t="array" ref="I18:O18">J17:P17-H18*I17:O17</f>
        <v>0</v>
      </c>
      <c r="J18">
        <v>0</v>
      </c>
      <c r="K18">
        <v>1</v>
      </c>
      <c r="L18">
        <v>-2</v>
      </c>
      <c r="M18">
        <v>-1</v>
      </c>
      <c r="N18">
        <v>2</v>
      </c>
      <c r="O18" s="7">
        <v>0</v>
      </c>
    </row>
    <row r="19" spans="2:17" x14ac:dyDescent="0.35">
      <c r="B19">
        <v>17</v>
      </c>
      <c r="C19">
        <f t="shared" si="5"/>
        <v>3.005999999999998</v>
      </c>
      <c r="D19" s="1">
        <f t="shared" si="0"/>
        <v>4.5595999999999997</v>
      </c>
      <c r="H19">
        <v>-2</v>
      </c>
      <c r="I19" s="8" cm="1">
        <f t="array" ref="I19:O19">J18:P18-H19*I18:O18</f>
        <v>0</v>
      </c>
      <c r="J19">
        <v>1</v>
      </c>
      <c r="K19">
        <v>0</v>
      </c>
      <c r="L19">
        <v>-5</v>
      </c>
      <c r="M19">
        <v>0</v>
      </c>
      <c r="N19">
        <v>4</v>
      </c>
      <c r="O19" s="7">
        <v>0</v>
      </c>
    </row>
    <row r="20" spans="2:17" ht="15" thickBot="1" x14ac:dyDescent="0.4">
      <c r="B20">
        <v>18</v>
      </c>
      <c r="C20">
        <f t="shared" si="5"/>
        <v>3.1239999999999979</v>
      </c>
      <c r="D20" s="1">
        <f t="shared" si="0"/>
        <v>4.3642000000000003</v>
      </c>
      <c r="H20">
        <v>3</v>
      </c>
      <c r="I20" s="6" cm="1">
        <f t="array" ref="I20:O20">J19:P19-H20*I19:O19</f>
        <v>1</v>
      </c>
      <c r="J20" s="5">
        <v>-3</v>
      </c>
      <c r="K20" s="5">
        <v>-5</v>
      </c>
      <c r="L20" s="5">
        <v>15</v>
      </c>
      <c r="M20" s="5">
        <v>4</v>
      </c>
      <c r="N20" s="5">
        <v>-12</v>
      </c>
      <c r="O20" s="4">
        <v>0</v>
      </c>
    </row>
    <row r="21" spans="2:17" x14ac:dyDescent="0.35">
      <c r="B21">
        <v>19</v>
      </c>
      <c r="C21">
        <f t="shared" si="5"/>
        <v>3.2419999999999978</v>
      </c>
      <c r="D21" s="1">
        <f t="shared" si="0"/>
        <v>4.1262999999999996</v>
      </c>
    </row>
    <row r="22" spans="2:17" x14ac:dyDescent="0.35">
      <c r="B22">
        <v>20</v>
      </c>
      <c r="C22">
        <f t="shared" si="5"/>
        <v>3.3599999999999977</v>
      </c>
      <c r="D22" s="1">
        <f t="shared" si="0"/>
        <v>3.8492999999999999</v>
      </c>
    </row>
    <row r="23" spans="2:17" x14ac:dyDescent="0.35">
      <c r="B23">
        <v>21</v>
      </c>
      <c r="C23">
        <f t="shared" si="5"/>
        <v>3.4779999999999975</v>
      </c>
      <c r="D23" s="1">
        <f t="shared" si="0"/>
        <v>3.5373000000000001</v>
      </c>
    </row>
    <row r="24" spans="2:17" x14ac:dyDescent="0.35">
      <c r="B24">
        <v>22</v>
      </c>
      <c r="C24">
        <f t="shared" si="5"/>
        <v>3.5959999999999974</v>
      </c>
      <c r="D24" s="1">
        <f t="shared" si="0"/>
        <v>3.1947999999999999</v>
      </c>
      <c r="P24" s="18"/>
      <c r="Q24" s="14"/>
    </row>
    <row r="25" spans="2:17" x14ac:dyDescent="0.35">
      <c r="B25">
        <v>23</v>
      </c>
      <c r="C25">
        <f t="shared" si="5"/>
        <v>3.7139999999999973</v>
      </c>
      <c r="D25" s="1">
        <f t="shared" si="0"/>
        <v>2.8267000000000002</v>
      </c>
      <c r="G25" s="17" t="s">
        <v>3</v>
      </c>
      <c r="I25" s="23" cm="1">
        <f t="array" ref="I25:O25">MMULT(I12:O12,I14:O20)</f>
        <v>1.2500000000057218E-6</v>
      </c>
      <c r="J25" s="17">
        <v>-4.1666666667679813E-7</v>
      </c>
      <c r="K25" s="17">
        <v>1.4583333333256172E-5</v>
      </c>
      <c r="L25" s="17">
        <v>4.3750000000101569E-5</v>
      </c>
      <c r="M25" s="17">
        <v>-2.5065833333333058E-2</v>
      </c>
      <c r="N25" s="17">
        <v>-1.319333333333342E-2</v>
      </c>
      <c r="O25" s="17">
        <v>5.5377000000000001</v>
      </c>
      <c r="P25" s="15"/>
      <c r="Q25" s="16"/>
    </row>
    <row r="26" spans="2:17" x14ac:dyDescent="0.35">
      <c r="B26">
        <v>24</v>
      </c>
      <c r="C26">
        <f t="shared" si="5"/>
        <v>3.8319999999999972</v>
      </c>
      <c r="D26" s="1">
        <f t="shared" si="0"/>
        <v>2.4384000000000001</v>
      </c>
      <c r="N26" s="2"/>
      <c r="P26" s="15"/>
      <c r="Q26" s="14"/>
    </row>
    <row r="27" spans="2:17" x14ac:dyDescent="0.35">
      <c r="B27">
        <v>25</v>
      </c>
      <c r="C27">
        <f t="shared" si="5"/>
        <v>3.9499999999999971</v>
      </c>
      <c r="D27" s="1">
        <f t="shared" si="0"/>
        <v>2.0354000000000001</v>
      </c>
    </row>
    <row r="28" spans="2:17" x14ac:dyDescent="0.35">
      <c r="B28">
        <v>26</v>
      </c>
      <c r="C28">
        <f t="shared" si="5"/>
        <v>4.067999999999997</v>
      </c>
      <c r="D28" s="1">
        <f t="shared" si="0"/>
        <v>1.6234</v>
      </c>
    </row>
    <row r="29" spans="2:17" x14ac:dyDescent="0.35">
      <c r="B29">
        <v>27</v>
      </c>
      <c r="C29">
        <f t="shared" si="5"/>
        <v>4.1859999999999973</v>
      </c>
      <c r="D29" s="1">
        <f t="shared" si="0"/>
        <v>1.2083999999999999</v>
      </c>
      <c r="F29" s="48" t="s">
        <v>2</v>
      </c>
      <c r="G29" s="48"/>
      <c r="H29" s="48"/>
      <c r="I29" s="13">
        <f>I5</f>
        <v>5.5758999999999999</v>
      </c>
      <c r="J29" s="12">
        <f>J5</f>
        <v>1.18999999999998E-2</v>
      </c>
      <c r="K29" s="12">
        <f>K6</f>
        <v>-5.0099999999999589E-2</v>
      </c>
      <c r="L29" s="12">
        <f>L6</f>
        <v>8.8817841970012523E-16</v>
      </c>
      <c r="M29" s="12">
        <f>M7</f>
        <v>4.9999999999883471E-4</v>
      </c>
      <c r="N29" s="12">
        <f>N7</f>
        <v>-5.000000000032756E-4</v>
      </c>
      <c r="O29" s="12">
        <f>O8</f>
        <v>9.0000000000411973E-4</v>
      </c>
      <c r="P29" s="12"/>
      <c r="Q29" s="12"/>
    </row>
    <row r="30" spans="2:17" x14ac:dyDescent="0.35">
      <c r="B30">
        <v>28</v>
      </c>
      <c r="C30">
        <f t="shared" si="5"/>
        <v>4.3039999999999976</v>
      </c>
      <c r="D30" s="1">
        <f t="shared" si="0"/>
        <v>0.79620000000000002</v>
      </c>
      <c r="I30" s="1">
        <f>I29</f>
        <v>5.5758999999999999</v>
      </c>
      <c r="J30" s="1">
        <f>J29</f>
        <v>1.18999999999998E-2</v>
      </c>
      <c r="K30">
        <f>K29/2</f>
        <v>-2.5049999999999795E-2</v>
      </c>
      <c r="L30">
        <f>L29/6</f>
        <v>1.4802973661668753E-16</v>
      </c>
      <c r="M30">
        <f>M29/24</f>
        <v>2.0833333333284781E-5</v>
      </c>
      <c r="N30">
        <f>N29/120</f>
        <v>-4.1666666666939634E-6</v>
      </c>
      <c r="O30">
        <f>O29/720</f>
        <v>1.2500000000057218E-6</v>
      </c>
    </row>
    <row r="31" spans="2:17" ht="15" thickBot="1" x14ac:dyDescent="0.4">
      <c r="B31">
        <v>29</v>
      </c>
      <c r="C31">
        <f t="shared" si="5"/>
        <v>4.4219999999999979</v>
      </c>
      <c r="D31" s="1">
        <f t="shared" si="0"/>
        <v>0.39279999999999998</v>
      </c>
    </row>
    <row r="32" spans="2:17" x14ac:dyDescent="0.35">
      <c r="B32">
        <v>30</v>
      </c>
      <c r="C32">
        <f t="shared" si="5"/>
        <v>4.5399999999999983</v>
      </c>
      <c r="D32" s="1">
        <f t="shared" si="0"/>
        <v>4.0000000000000001E-3</v>
      </c>
      <c r="H32" s="1"/>
      <c r="I32" s="11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9">
        <v>1</v>
      </c>
    </row>
    <row r="33" spans="2:17" x14ac:dyDescent="0.35">
      <c r="B33">
        <v>31</v>
      </c>
      <c r="C33">
        <f t="shared" si="5"/>
        <v>4.6579999999999986</v>
      </c>
      <c r="D33" s="1">
        <f t="shared" si="0"/>
        <v>-0.3649</v>
      </c>
      <c r="H33">
        <v>0</v>
      </c>
      <c r="I33" s="8" cm="1">
        <f t="array" ref="I33:O33">J32:P32-H33*I32:O32</f>
        <v>0</v>
      </c>
      <c r="J33">
        <v>0</v>
      </c>
      <c r="K33">
        <v>0</v>
      </c>
      <c r="L33">
        <v>0</v>
      </c>
      <c r="M33">
        <v>0</v>
      </c>
      <c r="N33">
        <v>1</v>
      </c>
      <c r="O33" s="7">
        <v>0</v>
      </c>
    </row>
    <row r="34" spans="2:17" x14ac:dyDescent="0.35">
      <c r="B34">
        <v>32</v>
      </c>
      <c r="C34">
        <f t="shared" si="5"/>
        <v>4.7759999999999989</v>
      </c>
      <c r="D34" s="1">
        <f t="shared" si="0"/>
        <v>-0.70830000000000004</v>
      </c>
      <c r="H34">
        <v>-1</v>
      </c>
      <c r="I34" s="8" cm="1">
        <f t="array" ref="I34:O34">J33:P33-H34*I33:O33</f>
        <v>0</v>
      </c>
      <c r="J34">
        <v>0</v>
      </c>
      <c r="K34">
        <v>0</v>
      </c>
      <c r="L34">
        <v>0</v>
      </c>
      <c r="M34">
        <v>1</v>
      </c>
      <c r="N34">
        <v>1</v>
      </c>
      <c r="O34" s="7">
        <v>0</v>
      </c>
    </row>
    <row r="35" spans="2:17" x14ac:dyDescent="0.35">
      <c r="B35">
        <v>33</v>
      </c>
      <c r="C35">
        <f t="shared" si="5"/>
        <v>4.8939999999999992</v>
      </c>
      <c r="D35" s="1">
        <f t="shared" si="0"/>
        <v>-1.0216000000000001</v>
      </c>
      <c r="H35">
        <v>1</v>
      </c>
      <c r="I35" s="8" cm="1">
        <f t="array" ref="I35:O35">J34:P34-H35*I34:O34</f>
        <v>0</v>
      </c>
      <c r="J35">
        <v>0</v>
      </c>
      <c r="K35">
        <v>0</v>
      </c>
      <c r="L35">
        <v>1</v>
      </c>
      <c r="M35">
        <v>0</v>
      </c>
      <c r="N35">
        <v>-1</v>
      </c>
      <c r="O35" s="7">
        <v>0</v>
      </c>
    </row>
    <row r="36" spans="2:17" x14ac:dyDescent="0.35">
      <c r="B36">
        <v>34</v>
      </c>
      <c r="C36">
        <f t="shared" ref="C36:C67" si="6">C35+$C$1</f>
        <v>5.0119999999999996</v>
      </c>
      <c r="D36" s="1">
        <f t="shared" si="0"/>
        <v>-1.3001</v>
      </c>
      <c r="H36">
        <v>-2</v>
      </c>
      <c r="I36" s="8" cm="1">
        <f t="array" ref="I36:O36">J35:P35-H36*I35:O35</f>
        <v>0</v>
      </c>
      <c r="J36">
        <v>0</v>
      </c>
      <c r="K36">
        <v>1</v>
      </c>
      <c r="L36">
        <v>2</v>
      </c>
      <c r="M36">
        <v>-1</v>
      </c>
      <c r="N36">
        <v>-2</v>
      </c>
      <c r="O36" s="7">
        <v>0</v>
      </c>
    </row>
    <row r="37" spans="2:17" x14ac:dyDescent="0.35">
      <c r="B37">
        <v>35</v>
      </c>
      <c r="C37">
        <f t="shared" si="6"/>
        <v>5.13</v>
      </c>
      <c r="D37" s="1">
        <f t="shared" si="0"/>
        <v>-1.5399</v>
      </c>
      <c r="H37">
        <v>2</v>
      </c>
      <c r="I37" s="8" cm="1">
        <f t="array" ref="I37:O37">J36:P36-H37*I36:O36</f>
        <v>0</v>
      </c>
      <c r="J37">
        <v>1</v>
      </c>
      <c r="K37">
        <v>0</v>
      </c>
      <c r="L37">
        <v>-5</v>
      </c>
      <c r="M37">
        <v>0</v>
      </c>
      <c r="N37">
        <v>4</v>
      </c>
      <c r="O37" s="7">
        <v>0</v>
      </c>
    </row>
    <row r="38" spans="2:17" ht="15" thickBot="1" x14ac:dyDescent="0.4">
      <c r="B38">
        <v>36</v>
      </c>
      <c r="C38">
        <f t="shared" si="6"/>
        <v>5.2480000000000002</v>
      </c>
      <c r="D38" s="1">
        <f t="shared" si="0"/>
        <v>-1.7375</v>
      </c>
      <c r="H38">
        <v>-3</v>
      </c>
      <c r="I38" s="6" cm="1">
        <f t="array" ref="I38:O38">J37:P37-H38*I37:O37</f>
        <v>1</v>
      </c>
      <c r="J38" s="5">
        <v>3</v>
      </c>
      <c r="K38" s="5">
        <v>-5</v>
      </c>
      <c r="L38" s="5">
        <v>-15</v>
      </c>
      <c r="M38" s="5">
        <v>4</v>
      </c>
      <c r="N38" s="5">
        <v>12</v>
      </c>
      <c r="O38" s="4">
        <v>0</v>
      </c>
    </row>
    <row r="39" spans="2:17" x14ac:dyDescent="0.35">
      <c r="B39">
        <v>37</v>
      </c>
      <c r="C39">
        <f t="shared" si="6"/>
        <v>5.3660000000000005</v>
      </c>
      <c r="D39" s="1">
        <f t="shared" si="0"/>
        <v>-1.89</v>
      </c>
    </row>
    <row r="40" spans="2:17" x14ac:dyDescent="0.35">
      <c r="B40">
        <v>38</v>
      </c>
      <c r="C40">
        <f t="shared" si="6"/>
        <v>5.4840000000000009</v>
      </c>
      <c r="D40" s="1">
        <f t="shared" si="0"/>
        <v>-1.9952000000000001</v>
      </c>
    </row>
    <row r="41" spans="2:17" x14ac:dyDescent="0.35">
      <c r="B41">
        <v>39</v>
      </c>
      <c r="C41">
        <f t="shared" si="6"/>
        <v>5.6020000000000012</v>
      </c>
      <c r="D41" s="1">
        <f t="shared" si="0"/>
        <v>-2.0514999999999999</v>
      </c>
    </row>
    <row r="42" spans="2:17" x14ac:dyDescent="0.35">
      <c r="B42">
        <v>40</v>
      </c>
      <c r="C42">
        <f t="shared" si="6"/>
        <v>5.7200000000000015</v>
      </c>
      <c r="D42" s="1">
        <f t="shared" si="0"/>
        <v>-2.0579000000000001</v>
      </c>
    </row>
    <row r="43" spans="2:17" x14ac:dyDescent="0.35">
      <c r="B43">
        <v>41</v>
      </c>
      <c r="C43">
        <f t="shared" si="6"/>
        <v>5.8380000000000019</v>
      </c>
      <c r="D43" s="1">
        <f t="shared" si="0"/>
        <v>-2.0144000000000002</v>
      </c>
      <c r="G43" s="3" t="s">
        <v>1</v>
      </c>
      <c r="H43">
        <v>15.237</v>
      </c>
      <c r="I43" s="3" cm="1">
        <f t="array" ref="I43:O43">MMULT(I30:O30,I32:O38)</f>
        <v>1.2500000000057218E-6</v>
      </c>
      <c r="J43" s="3">
        <v>-4.1666666667679771E-7</v>
      </c>
      <c r="K43" s="3">
        <v>1.4583333333256172E-5</v>
      </c>
      <c r="L43" s="3">
        <v>4.3750000000101583E-5</v>
      </c>
      <c r="M43" s="3">
        <v>-2.5065833333333058E-2</v>
      </c>
      <c r="N43" s="3">
        <v>-1.319333333333342E-2</v>
      </c>
      <c r="O43" s="3">
        <v>5.5758999999999999</v>
      </c>
      <c r="P43" s="3"/>
      <c r="Q43" s="3"/>
    </row>
    <row r="44" spans="2:17" x14ac:dyDescent="0.35">
      <c r="B44">
        <v>42</v>
      </c>
      <c r="C44">
        <f t="shared" si="6"/>
        <v>5.9560000000000022</v>
      </c>
      <c r="D44" s="1">
        <f t="shared" si="0"/>
        <v>-1.9214</v>
      </c>
      <c r="H44">
        <f>(H43-H5)/C1</f>
        <v>0.65254237288112982</v>
      </c>
      <c r="I44">
        <f>I43</f>
        <v>1.2500000000057218E-6</v>
      </c>
      <c r="J44">
        <f t="shared" ref="J44:O44" si="7">I44*$H$44+J43</f>
        <v>3.9901129942834829E-7</v>
      </c>
      <c r="K44">
        <f t="shared" si="7"/>
        <v>1.484370511339153E-5</v>
      </c>
      <c r="L44">
        <f t="shared" si="7"/>
        <v>5.3436146557141851E-5</v>
      </c>
      <c r="M44">
        <f t="shared" si="7"/>
        <v>-2.5030963983461038E-2</v>
      </c>
      <c r="N44">
        <f t="shared" si="7"/>
        <v>-2.9527097966603182E-2</v>
      </c>
      <c r="O44" s="2">
        <f t="shared" si="7"/>
        <v>5.556632317428579</v>
      </c>
      <c r="Q44" s="2"/>
    </row>
    <row r="45" spans="2:17" x14ac:dyDescent="0.35">
      <c r="B45">
        <v>43</v>
      </c>
      <c r="C45">
        <f t="shared" si="6"/>
        <v>6.0740000000000025</v>
      </c>
      <c r="D45" s="1">
        <f t="shared" si="0"/>
        <v>-1.78</v>
      </c>
    </row>
    <row r="46" spans="2:17" x14ac:dyDescent="0.35">
      <c r="B46">
        <v>44</v>
      </c>
      <c r="C46">
        <f t="shared" si="6"/>
        <v>6.1920000000000028</v>
      </c>
      <c r="D46" s="1">
        <f t="shared" si="0"/>
        <v>-1.5922000000000001</v>
      </c>
    </row>
    <row r="47" spans="2:17" x14ac:dyDescent="0.35">
      <c r="B47">
        <v>45</v>
      </c>
      <c r="C47">
        <f t="shared" si="6"/>
        <v>6.3100000000000032</v>
      </c>
      <c r="D47" s="1">
        <f t="shared" si="0"/>
        <v>-1.3604000000000001</v>
      </c>
    </row>
    <row r="48" spans="2:17" x14ac:dyDescent="0.35">
      <c r="B48">
        <v>46</v>
      </c>
      <c r="C48">
        <f t="shared" si="6"/>
        <v>6.4280000000000035</v>
      </c>
      <c r="D48" s="1">
        <f t="shared" si="0"/>
        <v>-1.0876999999999999</v>
      </c>
    </row>
    <row r="49" spans="2:4" x14ac:dyDescent="0.35">
      <c r="B49">
        <v>47</v>
      </c>
      <c r="C49">
        <f t="shared" si="6"/>
        <v>6.5460000000000038</v>
      </c>
      <c r="D49" s="1">
        <f t="shared" si="0"/>
        <v>-0.77790000000000004</v>
      </c>
    </row>
    <row r="50" spans="2:4" x14ac:dyDescent="0.35">
      <c r="B50">
        <v>48</v>
      </c>
      <c r="C50">
        <f t="shared" si="6"/>
        <v>6.6640000000000041</v>
      </c>
      <c r="D50" s="1">
        <f t="shared" si="0"/>
        <v>-0.435</v>
      </c>
    </row>
    <row r="51" spans="2:4" x14ac:dyDescent="0.35">
      <c r="B51">
        <v>49</v>
      </c>
      <c r="C51">
        <f t="shared" si="6"/>
        <v>6.7820000000000045</v>
      </c>
      <c r="D51" s="1">
        <f t="shared" si="0"/>
        <v>-6.3899999999999998E-2</v>
      </c>
    </row>
    <row r="52" spans="2:4" x14ac:dyDescent="0.35">
      <c r="B52">
        <v>50</v>
      </c>
      <c r="C52">
        <f t="shared" si="6"/>
        <v>6.9000000000000048</v>
      </c>
      <c r="D52" s="1">
        <f t="shared" si="0"/>
        <v>0.33040000000000003</v>
      </c>
    </row>
    <row r="53" spans="2:4" x14ac:dyDescent="0.35">
      <c r="B53">
        <v>51</v>
      </c>
      <c r="C53">
        <f t="shared" si="6"/>
        <v>7.0180000000000051</v>
      </c>
      <c r="D53" s="1">
        <f t="shared" si="0"/>
        <v>0.74270000000000003</v>
      </c>
    </row>
    <row r="54" spans="2:4" x14ac:dyDescent="0.35">
      <c r="B54">
        <v>52</v>
      </c>
      <c r="C54">
        <f t="shared" si="6"/>
        <v>7.1360000000000054</v>
      </c>
      <c r="D54" s="1">
        <f t="shared" si="0"/>
        <v>1.1671</v>
      </c>
    </row>
    <row r="55" spans="2:4" x14ac:dyDescent="0.35">
      <c r="B55">
        <v>53</v>
      </c>
      <c r="C55">
        <f t="shared" si="6"/>
        <v>7.2540000000000058</v>
      </c>
      <c r="D55" s="1">
        <f t="shared" si="0"/>
        <v>1.5979000000000001</v>
      </c>
    </row>
    <row r="56" spans="2:4" x14ac:dyDescent="0.35">
      <c r="B56">
        <v>54</v>
      </c>
      <c r="C56">
        <f t="shared" si="6"/>
        <v>7.3720000000000061</v>
      </c>
      <c r="D56" s="1">
        <f t="shared" si="0"/>
        <v>2.0293000000000001</v>
      </c>
    </row>
    <row r="57" spans="2:4" x14ac:dyDescent="0.35">
      <c r="B57">
        <v>55</v>
      </c>
      <c r="C57">
        <f t="shared" si="6"/>
        <v>7.4900000000000064</v>
      </c>
      <c r="D57" s="1">
        <f t="shared" si="0"/>
        <v>2.4552999999999998</v>
      </c>
    </row>
    <row r="58" spans="2:4" x14ac:dyDescent="0.35">
      <c r="B58">
        <v>56</v>
      </c>
      <c r="C58">
        <f t="shared" si="6"/>
        <v>7.6080000000000068</v>
      </c>
      <c r="D58" s="1">
        <f t="shared" si="0"/>
        <v>2.8700999999999999</v>
      </c>
    </row>
    <row r="59" spans="2:4" x14ac:dyDescent="0.35">
      <c r="B59">
        <v>57</v>
      </c>
      <c r="C59">
        <f t="shared" si="6"/>
        <v>7.7260000000000071</v>
      </c>
      <c r="D59" s="1">
        <f t="shared" si="0"/>
        <v>3.2679</v>
      </c>
    </row>
    <row r="60" spans="2:4" x14ac:dyDescent="0.35">
      <c r="B60">
        <v>58</v>
      </c>
      <c r="C60">
        <f t="shared" si="6"/>
        <v>7.8440000000000074</v>
      </c>
      <c r="D60" s="1">
        <f t="shared" si="0"/>
        <v>3.6435</v>
      </c>
    </row>
    <row r="61" spans="2:4" x14ac:dyDescent="0.35">
      <c r="B61">
        <v>59</v>
      </c>
      <c r="C61">
        <f t="shared" si="6"/>
        <v>7.9620000000000077</v>
      </c>
      <c r="D61" s="1">
        <f t="shared" si="0"/>
        <v>3.9916</v>
      </c>
    </row>
    <row r="62" spans="2:4" x14ac:dyDescent="0.35">
      <c r="B62">
        <v>60</v>
      </c>
      <c r="C62">
        <f t="shared" si="6"/>
        <v>8.0800000000000072</v>
      </c>
      <c r="D62" s="1">
        <f t="shared" si="0"/>
        <v>4.3074000000000003</v>
      </c>
    </row>
    <row r="63" spans="2:4" x14ac:dyDescent="0.35">
      <c r="B63">
        <v>61</v>
      </c>
      <c r="C63">
        <f t="shared" si="6"/>
        <v>8.1980000000000075</v>
      </c>
      <c r="D63" s="1">
        <f t="shared" si="0"/>
        <v>4.5867000000000004</v>
      </c>
    </row>
    <row r="64" spans="2:4" x14ac:dyDescent="0.35">
      <c r="B64">
        <v>62</v>
      </c>
      <c r="C64">
        <f t="shared" si="6"/>
        <v>8.3160000000000078</v>
      </c>
      <c r="D64" s="1">
        <f t="shared" si="0"/>
        <v>4.8257000000000003</v>
      </c>
    </row>
    <row r="65" spans="2:4" x14ac:dyDescent="0.35">
      <c r="B65">
        <v>63</v>
      </c>
      <c r="C65">
        <f t="shared" si="6"/>
        <v>8.4340000000000082</v>
      </c>
      <c r="D65" s="1">
        <f t="shared" si="0"/>
        <v>5.0212000000000003</v>
      </c>
    </row>
    <row r="66" spans="2:4" x14ac:dyDescent="0.35">
      <c r="B66">
        <v>64</v>
      </c>
      <c r="C66">
        <f t="shared" si="6"/>
        <v>8.5520000000000085</v>
      </c>
      <c r="D66" s="1">
        <f t="shared" ref="D66:D129" si="8">ROUND(POWER(C66,1/4)+2*SIN(C66)-3*COS(C66),4)</f>
        <v>5.1703999999999999</v>
      </c>
    </row>
    <row r="67" spans="2:4" x14ac:dyDescent="0.35">
      <c r="B67">
        <v>65</v>
      </c>
      <c r="C67">
        <f t="shared" si="6"/>
        <v>8.6700000000000088</v>
      </c>
      <c r="D67" s="1">
        <f t="shared" si="8"/>
        <v>5.2714999999999996</v>
      </c>
    </row>
    <row r="68" spans="2:4" x14ac:dyDescent="0.35">
      <c r="B68">
        <v>66</v>
      </c>
      <c r="C68">
        <f t="shared" ref="C68:C99" si="9">C67+$C$1</f>
        <v>8.7880000000000091</v>
      </c>
      <c r="D68" s="1">
        <f t="shared" si="8"/>
        <v>5.3230000000000004</v>
      </c>
    </row>
    <row r="69" spans="2:4" x14ac:dyDescent="0.35">
      <c r="B69">
        <v>67</v>
      </c>
      <c r="C69">
        <f t="shared" si="9"/>
        <v>8.9060000000000095</v>
      </c>
      <c r="D69" s="1">
        <f t="shared" si="8"/>
        <v>5.3243999999999998</v>
      </c>
    </row>
    <row r="70" spans="2:4" x14ac:dyDescent="0.35">
      <c r="B70">
        <v>68</v>
      </c>
      <c r="C70">
        <f t="shared" si="9"/>
        <v>9.0240000000000098</v>
      </c>
      <c r="D70" s="1">
        <f t="shared" si="8"/>
        <v>5.2756999999999996</v>
      </c>
    </row>
    <row r="71" spans="2:4" x14ac:dyDescent="0.35">
      <c r="B71">
        <v>69</v>
      </c>
      <c r="C71">
        <f t="shared" si="9"/>
        <v>9.1420000000000101</v>
      </c>
      <c r="D71" s="1">
        <f t="shared" si="8"/>
        <v>5.1776999999999997</v>
      </c>
    </row>
    <row r="72" spans="2:4" x14ac:dyDescent="0.35">
      <c r="B72">
        <v>70</v>
      </c>
      <c r="C72">
        <f t="shared" si="9"/>
        <v>9.2600000000000104</v>
      </c>
      <c r="D72" s="1">
        <f t="shared" si="8"/>
        <v>5.0319000000000003</v>
      </c>
    </row>
    <row r="73" spans="2:4" x14ac:dyDescent="0.35">
      <c r="B73">
        <v>71</v>
      </c>
      <c r="C73">
        <f t="shared" si="9"/>
        <v>9.3780000000000108</v>
      </c>
      <c r="D73" s="1">
        <f t="shared" si="8"/>
        <v>4.8402000000000003</v>
      </c>
    </row>
    <row r="74" spans="2:4" x14ac:dyDescent="0.35">
      <c r="B74">
        <v>72</v>
      </c>
      <c r="C74">
        <f t="shared" si="9"/>
        <v>9.4960000000000111</v>
      </c>
      <c r="D74" s="1">
        <f t="shared" si="8"/>
        <v>4.6055000000000001</v>
      </c>
    </row>
    <row r="75" spans="2:4" x14ac:dyDescent="0.35">
      <c r="B75">
        <v>73</v>
      </c>
      <c r="C75">
        <f t="shared" si="9"/>
        <v>9.6140000000000114</v>
      </c>
      <c r="D75" s="1">
        <f t="shared" si="8"/>
        <v>4.3311000000000002</v>
      </c>
    </row>
    <row r="76" spans="2:4" x14ac:dyDescent="0.35">
      <c r="B76">
        <v>74</v>
      </c>
      <c r="C76">
        <f t="shared" si="9"/>
        <v>9.7320000000000118</v>
      </c>
      <c r="D76" s="1">
        <f t="shared" si="8"/>
        <v>4.0209999999999999</v>
      </c>
    </row>
    <row r="77" spans="2:4" x14ac:dyDescent="0.35">
      <c r="B77">
        <v>75</v>
      </c>
      <c r="C77">
        <f t="shared" si="9"/>
        <v>9.8500000000000121</v>
      </c>
      <c r="D77" s="1">
        <f t="shared" si="8"/>
        <v>3.6793999999999998</v>
      </c>
    </row>
    <row r="78" spans="2:4" x14ac:dyDescent="0.35">
      <c r="B78">
        <v>76</v>
      </c>
      <c r="C78">
        <f t="shared" si="9"/>
        <v>9.9680000000000124</v>
      </c>
      <c r="D78" s="1">
        <f t="shared" si="8"/>
        <v>3.3111999999999999</v>
      </c>
    </row>
    <row r="79" spans="2:4" x14ac:dyDescent="0.35">
      <c r="B79">
        <v>77</v>
      </c>
      <c r="C79">
        <f t="shared" si="9"/>
        <v>10.086000000000013</v>
      </c>
      <c r="D79" s="1">
        <f t="shared" si="8"/>
        <v>2.9217</v>
      </c>
    </row>
    <row r="80" spans="2:4" x14ac:dyDescent="0.35">
      <c r="B80">
        <v>78</v>
      </c>
      <c r="C80">
        <f t="shared" si="9"/>
        <v>10.204000000000013</v>
      </c>
      <c r="D80" s="1">
        <f t="shared" si="8"/>
        <v>2.5162</v>
      </c>
    </row>
    <row r="81" spans="2:4" x14ac:dyDescent="0.35">
      <c r="B81">
        <v>79</v>
      </c>
      <c r="C81">
        <f t="shared" si="9"/>
        <v>10.322000000000013</v>
      </c>
      <c r="D81" s="1">
        <f t="shared" si="8"/>
        <v>2.1006</v>
      </c>
    </row>
    <row r="82" spans="2:4" x14ac:dyDescent="0.35">
      <c r="B82">
        <v>80</v>
      </c>
      <c r="C82">
        <f t="shared" si="9"/>
        <v>10.440000000000014</v>
      </c>
      <c r="D82" s="1">
        <f t="shared" si="8"/>
        <v>1.6806000000000001</v>
      </c>
    </row>
    <row r="83" spans="2:4" x14ac:dyDescent="0.35">
      <c r="B83">
        <v>81</v>
      </c>
      <c r="C83">
        <f t="shared" si="9"/>
        <v>10.558000000000014</v>
      </c>
      <c r="D83" s="1">
        <f t="shared" si="8"/>
        <v>1.2622</v>
      </c>
    </row>
    <row r="84" spans="2:4" x14ac:dyDescent="0.35">
      <c r="B84">
        <v>82</v>
      </c>
      <c r="C84">
        <f t="shared" si="9"/>
        <v>10.676000000000014</v>
      </c>
      <c r="D84" s="1">
        <f t="shared" si="8"/>
        <v>0.85129999999999995</v>
      </c>
    </row>
    <row r="85" spans="2:4" x14ac:dyDescent="0.35">
      <c r="B85">
        <v>83</v>
      </c>
      <c r="C85">
        <f t="shared" si="9"/>
        <v>10.794000000000015</v>
      </c>
      <c r="D85" s="1">
        <f t="shared" si="8"/>
        <v>0.45369999999999999</v>
      </c>
    </row>
    <row r="86" spans="2:4" x14ac:dyDescent="0.35">
      <c r="B86">
        <v>84</v>
      </c>
      <c r="C86">
        <f t="shared" si="9"/>
        <v>10.912000000000015</v>
      </c>
      <c r="D86" s="1">
        <f t="shared" si="8"/>
        <v>7.4899999999999994E-2</v>
      </c>
    </row>
    <row r="87" spans="2:4" x14ac:dyDescent="0.35">
      <c r="B87">
        <v>85</v>
      </c>
      <c r="C87">
        <f t="shared" si="9"/>
        <v>11.030000000000015</v>
      </c>
      <c r="D87" s="1">
        <f t="shared" si="8"/>
        <v>-0.2797</v>
      </c>
    </row>
    <row r="88" spans="2:4" x14ac:dyDescent="0.35">
      <c r="B88">
        <v>86</v>
      </c>
      <c r="C88">
        <f t="shared" si="9"/>
        <v>11.148000000000016</v>
      </c>
      <c r="D88" s="1">
        <f t="shared" si="8"/>
        <v>-0.60509999999999997</v>
      </c>
    </row>
    <row r="89" spans="2:4" x14ac:dyDescent="0.35">
      <c r="B89">
        <v>87</v>
      </c>
      <c r="C89">
        <f t="shared" si="9"/>
        <v>11.266000000000016</v>
      </c>
      <c r="D89" s="1">
        <f t="shared" si="8"/>
        <v>-0.89670000000000005</v>
      </c>
    </row>
    <row r="90" spans="2:4" x14ac:dyDescent="0.35">
      <c r="B90">
        <v>88</v>
      </c>
      <c r="C90">
        <f t="shared" si="9"/>
        <v>11.384000000000016</v>
      </c>
      <c r="D90" s="1">
        <f t="shared" si="8"/>
        <v>-1.1504000000000001</v>
      </c>
    </row>
    <row r="91" spans="2:4" x14ac:dyDescent="0.35">
      <c r="B91">
        <v>89</v>
      </c>
      <c r="C91">
        <f t="shared" si="9"/>
        <v>11.502000000000017</v>
      </c>
      <c r="D91" s="1">
        <f t="shared" si="8"/>
        <v>-1.3625</v>
      </c>
    </row>
    <row r="92" spans="2:4" x14ac:dyDescent="0.35">
      <c r="B92">
        <v>90</v>
      </c>
      <c r="C92">
        <f t="shared" si="9"/>
        <v>11.620000000000017</v>
      </c>
      <c r="D92" s="1">
        <f t="shared" si="8"/>
        <v>-1.5302</v>
      </c>
    </row>
    <row r="93" spans="2:4" x14ac:dyDescent="0.35">
      <c r="B93">
        <v>91</v>
      </c>
      <c r="C93">
        <f t="shared" si="9"/>
        <v>11.738000000000017</v>
      </c>
      <c r="D93" s="1">
        <f t="shared" si="8"/>
        <v>-1.6509</v>
      </c>
    </row>
    <row r="94" spans="2:4" x14ac:dyDescent="0.35">
      <c r="B94">
        <v>92</v>
      </c>
      <c r="C94">
        <f t="shared" si="9"/>
        <v>11.856000000000018</v>
      </c>
      <c r="D94" s="1">
        <f t="shared" si="8"/>
        <v>-1.7230000000000001</v>
      </c>
    </row>
    <row r="95" spans="2:4" x14ac:dyDescent="0.35">
      <c r="B95">
        <v>93</v>
      </c>
      <c r="C95">
        <f t="shared" si="9"/>
        <v>11.974000000000018</v>
      </c>
      <c r="D95" s="1">
        <f t="shared" si="8"/>
        <v>-1.7453000000000001</v>
      </c>
    </row>
    <row r="96" spans="2:4" x14ac:dyDescent="0.35">
      <c r="B96">
        <v>94</v>
      </c>
      <c r="C96">
        <f t="shared" si="9"/>
        <v>12.092000000000018</v>
      </c>
      <c r="D96" s="1">
        <f t="shared" si="8"/>
        <v>-1.7175</v>
      </c>
    </row>
    <row r="97" spans="2:4" x14ac:dyDescent="0.35">
      <c r="B97">
        <v>95</v>
      </c>
      <c r="C97">
        <f t="shared" si="9"/>
        <v>12.210000000000019</v>
      </c>
      <c r="D97" s="1">
        <f t="shared" si="8"/>
        <v>-1.64</v>
      </c>
    </row>
    <row r="98" spans="2:4" x14ac:dyDescent="0.35">
      <c r="B98">
        <v>96</v>
      </c>
      <c r="C98">
        <f t="shared" si="9"/>
        <v>12.328000000000019</v>
      </c>
      <c r="D98" s="1">
        <f t="shared" si="8"/>
        <v>-1.5136000000000001</v>
      </c>
    </row>
    <row r="99" spans="2:4" x14ac:dyDescent="0.35">
      <c r="B99">
        <v>97</v>
      </c>
      <c r="C99">
        <f t="shared" si="9"/>
        <v>12.446000000000019</v>
      </c>
      <c r="D99" s="1">
        <f t="shared" si="8"/>
        <v>-1.3402000000000001</v>
      </c>
    </row>
    <row r="100" spans="2:4" x14ac:dyDescent="0.35">
      <c r="B100">
        <v>98</v>
      </c>
      <c r="C100">
        <f t="shared" ref="C100:C131" si="10">C99+$C$1</f>
        <v>12.56400000000002</v>
      </c>
      <c r="D100" s="1">
        <f t="shared" si="8"/>
        <v>-1.1220000000000001</v>
      </c>
    </row>
    <row r="101" spans="2:4" x14ac:dyDescent="0.35">
      <c r="B101">
        <v>99</v>
      </c>
      <c r="C101">
        <f t="shared" si="10"/>
        <v>12.68200000000002</v>
      </c>
      <c r="D101" s="1">
        <f t="shared" si="8"/>
        <v>-0.86209999999999998</v>
      </c>
    </row>
    <row r="102" spans="2:4" x14ac:dyDescent="0.35">
      <c r="B102">
        <v>100</v>
      </c>
      <c r="C102">
        <f t="shared" si="10"/>
        <v>12.80000000000002</v>
      </c>
      <c r="D102" s="1">
        <f t="shared" si="8"/>
        <v>-0.56399999999999995</v>
      </c>
    </row>
    <row r="103" spans="2:4" x14ac:dyDescent="0.35">
      <c r="B103">
        <v>101</v>
      </c>
      <c r="C103">
        <f t="shared" si="10"/>
        <v>12.918000000000021</v>
      </c>
      <c r="D103" s="1">
        <f t="shared" si="8"/>
        <v>-0.23180000000000001</v>
      </c>
    </row>
    <row r="104" spans="2:4" x14ac:dyDescent="0.35">
      <c r="B104">
        <v>102</v>
      </c>
      <c r="C104">
        <f t="shared" si="10"/>
        <v>13.036000000000021</v>
      </c>
      <c r="D104" s="1">
        <f t="shared" si="8"/>
        <v>0.13</v>
      </c>
    </row>
    <row r="105" spans="2:4" x14ac:dyDescent="0.35">
      <c r="B105">
        <v>103</v>
      </c>
      <c r="C105">
        <f t="shared" si="10"/>
        <v>13.154000000000021</v>
      </c>
      <c r="D105" s="1">
        <f t="shared" si="8"/>
        <v>0.51639999999999997</v>
      </c>
    </row>
    <row r="106" spans="2:4" x14ac:dyDescent="0.35">
      <c r="B106">
        <v>104</v>
      </c>
      <c r="C106">
        <f t="shared" si="10"/>
        <v>13.272000000000022</v>
      </c>
      <c r="D106" s="1">
        <f t="shared" si="8"/>
        <v>0.92210000000000003</v>
      </c>
    </row>
    <row r="107" spans="2:4" x14ac:dyDescent="0.35">
      <c r="B107">
        <v>105</v>
      </c>
      <c r="C107">
        <f t="shared" si="10"/>
        <v>13.390000000000022</v>
      </c>
      <c r="D107" s="1">
        <f t="shared" si="8"/>
        <v>1.3414999999999999</v>
      </c>
    </row>
    <row r="108" spans="2:4" x14ac:dyDescent="0.35">
      <c r="B108">
        <v>106</v>
      </c>
      <c r="C108">
        <f t="shared" si="10"/>
        <v>13.508000000000022</v>
      </c>
      <c r="D108" s="1">
        <f t="shared" si="8"/>
        <v>1.7686999999999999</v>
      </c>
    </row>
    <row r="109" spans="2:4" x14ac:dyDescent="0.35">
      <c r="B109">
        <v>107</v>
      </c>
      <c r="C109">
        <f t="shared" si="10"/>
        <v>13.626000000000023</v>
      </c>
      <c r="D109" s="1">
        <f t="shared" si="8"/>
        <v>2.198</v>
      </c>
    </row>
    <row r="110" spans="2:4" x14ac:dyDescent="0.35">
      <c r="B110">
        <v>108</v>
      </c>
      <c r="C110">
        <f t="shared" si="10"/>
        <v>13.744000000000023</v>
      </c>
      <c r="D110" s="1">
        <f t="shared" si="8"/>
        <v>2.6234999999999999</v>
      </c>
    </row>
    <row r="111" spans="2:4" x14ac:dyDescent="0.35">
      <c r="B111">
        <v>109</v>
      </c>
      <c r="C111">
        <f t="shared" si="10"/>
        <v>13.862000000000023</v>
      </c>
      <c r="D111" s="1">
        <f t="shared" si="8"/>
        <v>3.0392000000000001</v>
      </c>
    </row>
    <row r="112" spans="2:4" x14ac:dyDescent="0.35">
      <c r="B112">
        <v>110</v>
      </c>
      <c r="C112">
        <f t="shared" si="10"/>
        <v>13.980000000000024</v>
      </c>
      <c r="D112" s="1">
        <f t="shared" si="8"/>
        <v>3.4394</v>
      </c>
    </row>
    <row r="113" spans="2:4" x14ac:dyDescent="0.35">
      <c r="B113">
        <v>111</v>
      </c>
      <c r="C113">
        <f t="shared" si="10"/>
        <v>14.098000000000024</v>
      </c>
      <c r="D113" s="1">
        <f t="shared" si="8"/>
        <v>3.8187000000000002</v>
      </c>
    </row>
    <row r="114" spans="2:4" x14ac:dyDescent="0.35">
      <c r="B114">
        <v>112</v>
      </c>
      <c r="C114">
        <f t="shared" si="10"/>
        <v>14.216000000000024</v>
      </c>
      <c r="D114" s="1">
        <f t="shared" si="8"/>
        <v>4.1718000000000002</v>
      </c>
    </row>
    <row r="115" spans="2:4" x14ac:dyDescent="0.35">
      <c r="B115">
        <v>113</v>
      </c>
      <c r="C115">
        <f t="shared" si="10"/>
        <v>14.334000000000024</v>
      </c>
      <c r="D115" s="1">
        <f t="shared" si="8"/>
        <v>4.4938000000000002</v>
      </c>
    </row>
    <row r="116" spans="2:4" x14ac:dyDescent="0.35">
      <c r="B116">
        <v>114</v>
      </c>
      <c r="C116">
        <f t="shared" si="10"/>
        <v>14.452000000000025</v>
      </c>
      <c r="D116" s="1">
        <f t="shared" si="8"/>
        <v>4.7804000000000002</v>
      </c>
    </row>
    <row r="117" spans="2:4" x14ac:dyDescent="0.35">
      <c r="B117">
        <v>115</v>
      </c>
      <c r="C117">
        <f t="shared" si="10"/>
        <v>14.570000000000025</v>
      </c>
      <c r="D117" s="1">
        <f t="shared" si="8"/>
        <v>5.0275999999999996</v>
      </c>
    </row>
    <row r="118" spans="2:4" x14ac:dyDescent="0.35">
      <c r="B118">
        <v>116</v>
      </c>
      <c r="C118">
        <f t="shared" si="10"/>
        <v>14.688000000000025</v>
      </c>
      <c r="D118" s="1">
        <f t="shared" si="8"/>
        <v>5.2320000000000002</v>
      </c>
    </row>
    <row r="119" spans="2:4" x14ac:dyDescent="0.35">
      <c r="B119">
        <v>117</v>
      </c>
      <c r="C119">
        <f t="shared" si="10"/>
        <v>14.806000000000026</v>
      </c>
      <c r="D119" s="1">
        <f t="shared" si="8"/>
        <v>5.3909000000000002</v>
      </c>
    </row>
    <row r="120" spans="2:4" x14ac:dyDescent="0.35">
      <c r="B120">
        <v>118</v>
      </c>
      <c r="C120">
        <f t="shared" si="10"/>
        <v>14.924000000000026</v>
      </c>
      <c r="D120" s="1">
        <f t="shared" si="8"/>
        <v>5.5019999999999998</v>
      </c>
    </row>
    <row r="121" spans="2:4" x14ac:dyDescent="0.35">
      <c r="B121">
        <v>119</v>
      </c>
      <c r="C121">
        <f t="shared" si="10"/>
        <v>15.042000000000026</v>
      </c>
      <c r="D121" s="1">
        <f t="shared" si="8"/>
        <v>5.5640000000000001</v>
      </c>
    </row>
    <row r="122" spans="2:4" x14ac:dyDescent="0.35">
      <c r="B122">
        <v>120</v>
      </c>
      <c r="C122">
        <f t="shared" si="10"/>
        <v>15.160000000000027</v>
      </c>
      <c r="D122" s="1">
        <f t="shared" si="8"/>
        <v>5.5758999999999999</v>
      </c>
    </row>
    <row r="123" spans="2:4" x14ac:dyDescent="0.35">
      <c r="B123">
        <v>121</v>
      </c>
      <c r="C123">
        <f t="shared" si="10"/>
        <v>15.278000000000027</v>
      </c>
      <c r="D123" s="1">
        <f t="shared" si="8"/>
        <v>5.5377000000000001</v>
      </c>
    </row>
    <row r="124" spans="2:4" x14ac:dyDescent="0.35">
      <c r="B124">
        <v>122</v>
      </c>
      <c r="C124">
        <f t="shared" si="10"/>
        <v>15.396000000000027</v>
      </c>
      <c r="D124" s="1">
        <f t="shared" si="8"/>
        <v>5.4499000000000004</v>
      </c>
    </row>
    <row r="125" spans="2:4" x14ac:dyDescent="0.35">
      <c r="B125">
        <v>123</v>
      </c>
      <c r="C125">
        <f t="shared" si="10"/>
        <v>15.514000000000028</v>
      </c>
      <c r="D125" s="1">
        <f t="shared" si="8"/>
        <v>5.3139000000000003</v>
      </c>
    </row>
    <row r="126" spans="2:4" x14ac:dyDescent="0.35">
      <c r="B126">
        <v>124</v>
      </c>
      <c r="C126">
        <f t="shared" si="10"/>
        <v>15.632000000000028</v>
      </c>
      <c r="D126" s="1">
        <f t="shared" si="8"/>
        <v>5.1315</v>
      </c>
    </row>
    <row r="127" spans="2:4" x14ac:dyDescent="0.35">
      <c r="B127">
        <v>125</v>
      </c>
      <c r="C127">
        <f t="shared" si="10"/>
        <v>15.750000000000028</v>
      </c>
      <c r="D127" s="1">
        <f t="shared" si="8"/>
        <v>4.9054000000000002</v>
      </c>
    </row>
    <row r="128" spans="2:4" x14ac:dyDescent="0.35">
      <c r="B128">
        <v>126</v>
      </c>
      <c r="C128">
        <f t="shared" si="10"/>
        <v>15.868000000000029</v>
      </c>
      <c r="D128" s="1">
        <f t="shared" si="8"/>
        <v>4.6387999999999998</v>
      </c>
    </row>
    <row r="129" spans="2:4" x14ac:dyDescent="0.35">
      <c r="B129">
        <v>127</v>
      </c>
      <c r="C129">
        <f t="shared" si="10"/>
        <v>15.986000000000029</v>
      </c>
      <c r="D129" s="1">
        <f t="shared" si="8"/>
        <v>4.3353999999999999</v>
      </c>
    </row>
    <row r="130" spans="2:4" x14ac:dyDescent="0.35">
      <c r="B130">
        <v>128</v>
      </c>
      <c r="C130">
        <f t="shared" si="10"/>
        <v>16.104000000000028</v>
      </c>
      <c r="D130" s="1">
        <f t="shared" ref="D130:D193" si="11">ROUND(POWER(C130,1/4)+2*SIN(C130)-3*COS(C130),4)</f>
        <v>3.9994999999999998</v>
      </c>
    </row>
    <row r="131" spans="2:4" x14ac:dyDescent="0.35">
      <c r="B131">
        <v>129</v>
      </c>
      <c r="C131">
        <f t="shared" si="10"/>
        <v>16.222000000000026</v>
      </c>
      <c r="D131" s="1">
        <f t="shared" si="11"/>
        <v>3.6358000000000001</v>
      </c>
    </row>
    <row r="132" spans="2:4" x14ac:dyDescent="0.35">
      <c r="B132">
        <v>130</v>
      </c>
      <c r="C132">
        <f t="shared" ref="C132:C163" si="12">C131+$C$1</f>
        <v>16.340000000000025</v>
      </c>
      <c r="D132" s="1">
        <f t="shared" si="11"/>
        <v>3.2494000000000001</v>
      </c>
    </row>
    <row r="133" spans="2:4" x14ac:dyDescent="0.35">
      <c r="B133">
        <v>131</v>
      </c>
      <c r="C133">
        <f t="shared" si="12"/>
        <v>16.458000000000023</v>
      </c>
      <c r="D133" s="1">
        <f t="shared" si="11"/>
        <v>2.8458000000000001</v>
      </c>
    </row>
    <row r="134" spans="2:4" x14ac:dyDescent="0.35">
      <c r="B134">
        <v>132</v>
      </c>
      <c r="C134">
        <f t="shared" si="12"/>
        <v>16.576000000000022</v>
      </c>
      <c r="D134" s="1">
        <f t="shared" si="11"/>
        <v>2.4306000000000001</v>
      </c>
    </row>
    <row r="135" spans="2:4" x14ac:dyDescent="0.35">
      <c r="B135">
        <v>133</v>
      </c>
      <c r="C135">
        <f t="shared" si="12"/>
        <v>16.69400000000002</v>
      </c>
      <c r="D135" s="1">
        <f t="shared" si="11"/>
        <v>2.0097</v>
      </c>
    </row>
    <row r="136" spans="2:4" x14ac:dyDescent="0.35">
      <c r="B136">
        <v>134</v>
      </c>
      <c r="C136">
        <f t="shared" si="12"/>
        <v>16.812000000000019</v>
      </c>
      <c r="D136" s="1">
        <f t="shared" si="11"/>
        <v>1.5888</v>
      </c>
    </row>
    <row r="137" spans="2:4" x14ac:dyDescent="0.35">
      <c r="B137">
        <v>135</v>
      </c>
      <c r="C137">
        <f t="shared" si="12"/>
        <v>16.930000000000017</v>
      </c>
      <c r="D137" s="1">
        <f t="shared" si="11"/>
        <v>1.1740999999999999</v>
      </c>
    </row>
    <row r="138" spans="2:4" x14ac:dyDescent="0.35">
      <c r="B138">
        <v>136</v>
      </c>
      <c r="C138">
        <f t="shared" si="12"/>
        <v>17.048000000000016</v>
      </c>
      <c r="D138" s="1">
        <f t="shared" si="11"/>
        <v>0.77110000000000001</v>
      </c>
    </row>
    <row r="139" spans="2:4" x14ac:dyDescent="0.35">
      <c r="B139">
        <v>137</v>
      </c>
      <c r="C139">
        <f t="shared" si="12"/>
        <v>17.166000000000015</v>
      </c>
      <c r="D139" s="1">
        <f t="shared" si="11"/>
        <v>0.38569999999999999</v>
      </c>
    </row>
    <row r="140" spans="2:4" x14ac:dyDescent="0.35">
      <c r="B140">
        <v>138</v>
      </c>
      <c r="C140">
        <f t="shared" si="12"/>
        <v>17.284000000000013</v>
      </c>
      <c r="D140" s="1">
        <f t="shared" si="11"/>
        <v>2.3300000000000001E-2</v>
      </c>
    </row>
    <row r="141" spans="2:4" x14ac:dyDescent="0.35">
      <c r="B141">
        <v>139</v>
      </c>
      <c r="C141">
        <f t="shared" si="12"/>
        <v>17.402000000000012</v>
      </c>
      <c r="D141" s="1">
        <f t="shared" si="11"/>
        <v>-0.31119999999999998</v>
      </c>
    </row>
    <row r="142" spans="2:4" x14ac:dyDescent="0.35">
      <c r="B142">
        <v>140</v>
      </c>
      <c r="C142">
        <f t="shared" si="12"/>
        <v>17.52000000000001</v>
      </c>
      <c r="D142" s="1">
        <f t="shared" si="11"/>
        <v>-0.6129</v>
      </c>
    </row>
    <row r="143" spans="2:4" x14ac:dyDescent="0.35">
      <c r="B143">
        <v>141</v>
      </c>
      <c r="C143">
        <f t="shared" si="12"/>
        <v>17.638000000000009</v>
      </c>
      <c r="D143" s="1">
        <f t="shared" si="11"/>
        <v>-0.87770000000000004</v>
      </c>
    </row>
    <row r="144" spans="2:4" x14ac:dyDescent="0.35">
      <c r="B144">
        <v>142</v>
      </c>
      <c r="C144">
        <f t="shared" si="12"/>
        <v>17.756000000000007</v>
      </c>
      <c r="D144" s="1">
        <f t="shared" si="11"/>
        <v>-1.1017999999999999</v>
      </c>
    </row>
    <row r="145" spans="2:4" x14ac:dyDescent="0.35">
      <c r="B145">
        <v>143</v>
      </c>
      <c r="C145">
        <f t="shared" si="12"/>
        <v>17.874000000000006</v>
      </c>
      <c r="D145" s="1">
        <f t="shared" si="11"/>
        <v>-1.282</v>
      </c>
    </row>
    <row r="146" spans="2:4" x14ac:dyDescent="0.35">
      <c r="B146">
        <v>144</v>
      </c>
      <c r="C146">
        <f t="shared" si="12"/>
        <v>17.992000000000004</v>
      </c>
      <c r="D146" s="1">
        <f t="shared" si="11"/>
        <v>-1.4157999999999999</v>
      </c>
    </row>
    <row r="147" spans="2:4" x14ac:dyDescent="0.35">
      <c r="B147">
        <v>145</v>
      </c>
      <c r="C147">
        <f t="shared" si="12"/>
        <v>18.110000000000003</v>
      </c>
      <c r="D147" s="1">
        <f t="shared" si="11"/>
        <v>-1.5013000000000001</v>
      </c>
    </row>
    <row r="148" spans="2:4" x14ac:dyDescent="0.35">
      <c r="B148">
        <v>146</v>
      </c>
      <c r="C148">
        <f t="shared" si="12"/>
        <v>18.228000000000002</v>
      </c>
      <c r="D148" s="1">
        <f t="shared" si="11"/>
        <v>-1.5373000000000001</v>
      </c>
    </row>
    <row r="149" spans="2:4" x14ac:dyDescent="0.35">
      <c r="B149">
        <v>147</v>
      </c>
      <c r="C149">
        <f t="shared" si="12"/>
        <v>18.346</v>
      </c>
      <c r="D149" s="1">
        <f t="shared" si="11"/>
        <v>-1.5230999999999999</v>
      </c>
    </row>
    <row r="150" spans="2:4" x14ac:dyDescent="0.35">
      <c r="B150">
        <v>148</v>
      </c>
      <c r="C150">
        <f t="shared" si="12"/>
        <v>18.463999999999999</v>
      </c>
      <c r="D150" s="1">
        <f t="shared" si="11"/>
        <v>-1.4590000000000001</v>
      </c>
    </row>
    <row r="151" spans="2:4" x14ac:dyDescent="0.35">
      <c r="B151">
        <v>149</v>
      </c>
      <c r="C151">
        <f t="shared" si="12"/>
        <v>18.581999999999997</v>
      </c>
      <c r="D151" s="1">
        <f t="shared" si="11"/>
        <v>-1.3458000000000001</v>
      </c>
    </row>
    <row r="152" spans="2:4" x14ac:dyDescent="0.35">
      <c r="B152">
        <v>150</v>
      </c>
      <c r="C152">
        <f t="shared" si="12"/>
        <v>18.699999999999996</v>
      </c>
      <c r="D152" s="1">
        <f t="shared" si="11"/>
        <v>-1.1850000000000001</v>
      </c>
    </row>
    <row r="153" spans="2:4" x14ac:dyDescent="0.35">
      <c r="B153">
        <v>151</v>
      </c>
      <c r="C153">
        <f t="shared" si="12"/>
        <v>18.817999999999994</v>
      </c>
      <c r="D153" s="1">
        <f t="shared" si="11"/>
        <v>-0.9788</v>
      </c>
    </row>
    <row r="154" spans="2:4" x14ac:dyDescent="0.35">
      <c r="B154">
        <v>152</v>
      </c>
      <c r="C154">
        <f t="shared" si="12"/>
        <v>18.935999999999993</v>
      </c>
      <c r="D154" s="1">
        <f t="shared" si="11"/>
        <v>-0.73009999999999997</v>
      </c>
    </row>
    <row r="155" spans="2:4" x14ac:dyDescent="0.35">
      <c r="B155">
        <v>153</v>
      </c>
      <c r="C155">
        <f t="shared" si="12"/>
        <v>19.053999999999991</v>
      </c>
      <c r="D155" s="1">
        <f t="shared" si="11"/>
        <v>-0.44219999999999998</v>
      </c>
    </row>
    <row r="156" spans="2:4" x14ac:dyDescent="0.35">
      <c r="B156">
        <v>154</v>
      </c>
      <c r="C156">
        <f t="shared" si="12"/>
        <v>19.17199999999999</v>
      </c>
      <c r="D156" s="1">
        <f t="shared" si="11"/>
        <v>-0.1191</v>
      </c>
    </row>
    <row r="157" spans="2:4" x14ac:dyDescent="0.35">
      <c r="B157">
        <v>155</v>
      </c>
      <c r="C157">
        <f t="shared" si="12"/>
        <v>19.289999999999988</v>
      </c>
      <c r="D157" s="1">
        <f t="shared" si="11"/>
        <v>0.23469999999999999</v>
      </c>
    </row>
    <row r="158" spans="2:4" x14ac:dyDescent="0.35">
      <c r="B158">
        <v>156</v>
      </c>
      <c r="C158">
        <f t="shared" si="12"/>
        <v>19.407999999999987</v>
      </c>
      <c r="D158" s="1">
        <f t="shared" si="11"/>
        <v>0.61439999999999995</v>
      </c>
    </row>
    <row r="159" spans="2:4" x14ac:dyDescent="0.35">
      <c r="B159">
        <v>157</v>
      </c>
      <c r="C159">
        <f t="shared" si="12"/>
        <v>19.525999999999986</v>
      </c>
      <c r="D159" s="1">
        <f t="shared" si="11"/>
        <v>1.0146999999999999</v>
      </c>
    </row>
    <row r="160" spans="2:4" x14ac:dyDescent="0.35">
      <c r="B160">
        <v>158</v>
      </c>
      <c r="C160">
        <f t="shared" si="12"/>
        <v>19.643999999999984</v>
      </c>
      <c r="D160" s="1">
        <f t="shared" si="11"/>
        <v>1.4301999999999999</v>
      </c>
    </row>
    <row r="161" spans="2:4" x14ac:dyDescent="0.35">
      <c r="B161">
        <v>159</v>
      </c>
      <c r="C161">
        <f t="shared" si="12"/>
        <v>19.761999999999983</v>
      </c>
      <c r="D161" s="1">
        <f t="shared" si="11"/>
        <v>1.855</v>
      </c>
    </row>
    <row r="162" spans="2:4" x14ac:dyDescent="0.35">
      <c r="B162">
        <v>160</v>
      </c>
      <c r="C162">
        <f t="shared" si="12"/>
        <v>19.879999999999981</v>
      </c>
      <c r="D162" s="1">
        <f t="shared" si="11"/>
        <v>2.2833000000000001</v>
      </c>
    </row>
    <row r="163" spans="2:4" x14ac:dyDescent="0.35">
      <c r="B163">
        <v>161</v>
      </c>
      <c r="C163">
        <f t="shared" si="12"/>
        <v>19.99799999999998</v>
      </c>
      <c r="D163" s="1">
        <f t="shared" si="11"/>
        <v>2.7092000000000001</v>
      </c>
    </row>
    <row r="164" spans="2:4" x14ac:dyDescent="0.35">
      <c r="B164">
        <v>162</v>
      </c>
      <c r="C164">
        <f t="shared" ref="C164:C195" si="13">C163+$C$1</f>
        <v>20.115999999999978</v>
      </c>
      <c r="D164" s="1">
        <f t="shared" si="11"/>
        <v>3.1269</v>
      </c>
    </row>
    <row r="165" spans="2:4" x14ac:dyDescent="0.35">
      <c r="B165">
        <v>163</v>
      </c>
      <c r="C165">
        <f t="shared" si="13"/>
        <v>20.233999999999977</v>
      </c>
      <c r="D165" s="1">
        <f t="shared" si="11"/>
        <v>3.5304000000000002</v>
      </c>
    </row>
    <row r="166" spans="2:4" x14ac:dyDescent="0.35">
      <c r="B166">
        <v>164</v>
      </c>
      <c r="C166">
        <f t="shared" si="13"/>
        <v>20.351999999999975</v>
      </c>
      <c r="D166" s="1">
        <f t="shared" si="11"/>
        <v>3.9144000000000001</v>
      </c>
    </row>
    <row r="167" spans="2:4" x14ac:dyDescent="0.35">
      <c r="B167">
        <v>165</v>
      </c>
      <c r="C167">
        <f t="shared" si="13"/>
        <v>20.469999999999974</v>
      </c>
      <c r="D167" s="1">
        <f t="shared" si="11"/>
        <v>4.2735000000000003</v>
      </c>
    </row>
    <row r="168" spans="2:4" x14ac:dyDescent="0.35">
      <c r="B168">
        <v>166</v>
      </c>
      <c r="C168">
        <f t="shared" si="13"/>
        <v>20.587999999999973</v>
      </c>
      <c r="D168" s="1">
        <f t="shared" si="11"/>
        <v>4.6026999999999996</v>
      </c>
    </row>
    <row r="169" spans="2:4" x14ac:dyDescent="0.35">
      <c r="B169">
        <v>167</v>
      </c>
      <c r="C169">
        <f t="shared" si="13"/>
        <v>20.705999999999971</v>
      </c>
      <c r="D169" s="1">
        <f t="shared" si="11"/>
        <v>4.8975</v>
      </c>
    </row>
    <row r="170" spans="2:4" x14ac:dyDescent="0.35">
      <c r="B170">
        <v>168</v>
      </c>
      <c r="C170">
        <f t="shared" si="13"/>
        <v>20.82399999999997</v>
      </c>
      <c r="D170" s="1">
        <f t="shared" si="11"/>
        <v>5.1538000000000004</v>
      </c>
    </row>
    <row r="171" spans="2:4" x14ac:dyDescent="0.35">
      <c r="B171">
        <v>169</v>
      </c>
      <c r="C171">
        <f t="shared" si="13"/>
        <v>20.941999999999968</v>
      </c>
      <c r="D171" s="1">
        <f t="shared" si="11"/>
        <v>5.3681000000000001</v>
      </c>
    </row>
    <row r="172" spans="2:4" x14ac:dyDescent="0.35">
      <c r="B172">
        <v>170</v>
      </c>
      <c r="C172">
        <f t="shared" si="13"/>
        <v>21.059999999999967</v>
      </c>
      <c r="D172" s="1">
        <f t="shared" si="11"/>
        <v>5.5376000000000003</v>
      </c>
    </row>
    <row r="173" spans="2:4" x14ac:dyDescent="0.35">
      <c r="B173">
        <v>171</v>
      </c>
      <c r="C173">
        <f t="shared" si="13"/>
        <v>21.177999999999965</v>
      </c>
      <c r="D173" s="1">
        <f t="shared" si="11"/>
        <v>5.6597999999999997</v>
      </c>
    </row>
    <row r="174" spans="2:4" x14ac:dyDescent="0.35">
      <c r="B174">
        <v>172</v>
      </c>
      <c r="C174">
        <f t="shared" si="13"/>
        <v>21.295999999999964</v>
      </c>
      <c r="D174" s="1">
        <f t="shared" si="11"/>
        <v>5.7331000000000003</v>
      </c>
    </row>
    <row r="175" spans="2:4" x14ac:dyDescent="0.35">
      <c r="B175">
        <v>173</v>
      </c>
      <c r="C175">
        <f t="shared" si="13"/>
        <v>21.413999999999962</v>
      </c>
      <c r="D175" s="1">
        <f t="shared" si="11"/>
        <v>5.7565</v>
      </c>
    </row>
    <row r="176" spans="2:4" x14ac:dyDescent="0.35">
      <c r="B176">
        <v>174</v>
      </c>
      <c r="C176">
        <f t="shared" si="13"/>
        <v>21.531999999999961</v>
      </c>
      <c r="D176" s="1">
        <f t="shared" si="11"/>
        <v>5.7298</v>
      </c>
    </row>
    <row r="177" spans="2:4" x14ac:dyDescent="0.35">
      <c r="B177">
        <v>175</v>
      </c>
      <c r="C177">
        <f t="shared" si="13"/>
        <v>21.649999999999959</v>
      </c>
      <c r="D177" s="1">
        <f t="shared" si="11"/>
        <v>5.6532999999999998</v>
      </c>
    </row>
    <row r="178" spans="2:4" x14ac:dyDescent="0.35">
      <c r="B178">
        <v>176</v>
      </c>
      <c r="C178">
        <f t="shared" si="13"/>
        <v>21.767999999999958</v>
      </c>
      <c r="D178" s="1">
        <f t="shared" si="11"/>
        <v>5.5282</v>
      </c>
    </row>
    <row r="179" spans="2:4" x14ac:dyDescent="0.35">
      <c r="B179">
        <v>177</v>
      </c>
      <c r="C179">
        <f t="shared" si="13"/>
        <v>21.885999999999957</v>
      </c>
      <c r="D179" s="1">
        <f t="shared" si="11"/>
        <v>5.3563000000000001</v>
      </c>
    </row>
    <row r="180" spans="2:4" x14ac:dyDescent="0.35">
      <c r="B180">
        <v>178</v>
      </c>
      <c r="C180">
        <f t="shared" si="13"/>
        <v>22.003999999999955</v>
      </c>
      <c r="D180" s="1">
        <f t="shared" si="11"/>
        <v>5.1398999999999999</v>
      </c>
    </row>
    <row r="181" spans="2:4" x14ac:dyDescent="0.35">
      <c r="B181">
        <v>179</v>
      </c>
      <c r="C181">
        <f t="shared" si="13"/>
        <v>22.121999999999954</v>
      </c>
      <c r="D181" s="1">
        <f t="shared" si="11"/>
        <v>4.8821000000000003</v>
      </c>
    </row>
    <row r="182" spans="2:4" x14ac:dyDescent="0.35">
      <c r="B182">
        <v>180</v>
      </c>
      <c r="C182">
        <f t="shared" si="13"/>
        <v>22.239999999999952</v>
      </c>
      <c r="D182" s="1">
        <f t="shared" si="11"/>
        <v>4.5865999999999998</v>
      </c>
    </row>
    <row r="183" spans="2:4" x14ac:dyDescent="0.35">
      <c r="B183">
        <v>181</v>
      </c>
      <c r="C183">
        <f t="shared" si="13"/>
        <v>22.357999999999951</v>
      </c>
      <c r="D183" s="1">
        <f t="shared" si="11"/>
        <v>4.2575000000000003</v>
      </c>
    </row>
    <row r="184" spans="2:4" x14ac:dyDescent="0.35">
      <c r="B184">
        <v>182</v>
      </c>
      <c r="C184">
        <f t="shared" si="13"/>
        <v>22.475999999999949</v>
      </c>
      <c r="D184" s="1">
        <f t="shared" si="11"/>
        <v>3.8994</v>
      </c>
    </row>
    <row r="185" spans="2:4" x14ac:dyDescent="0.35">
      <c r="B185">
        <v>183</v>
      </c>
      <c r="C185">
        <f t="shared" si="13"/>
        <v>22.593999999999948</v>
      </c>
      <c r="D185" s="1">
        <f t="shared" si="11"/>
        <v>3.5173999999999999</v>
      </c>
    </row>
    <row r="186" spans="2:4" x14ac:dyDescent="0.35">
      <c r="B186">
        <v>184</v>
      </c>
      <c r="C186">
        <f t="shared" si="13"/>
        <v>22.711999999999946</v>
      </c>
      <c r="D186" s="1">
        <f t="shared" si="11"/>
        <v>3.1166999999999998</v>
      </c>
    </row>
    <row r="187" spans="2:4" x14ac:dyDescent="0.35">
      <c r="B187">
        <v>185</v>
      </c>
      <c r="C187">
        <f t="shared" si="13"/>
        <v>22.829999999999945</v>
      </c>
      <c r="D187" s="1">
        <f t="shared" si="11"/>
        <v>2.7031000000000001</v>
      </c>
    </row>
    <row r="188" spans="2:4" x14ac:dyDescent="0.35">
      <c r="B188">
        <v>186</v>
      </c>
      <c r="C188">
        <f t="shared" si="13"/>
        <v>22.947999999999944</v>
      </c>
      <c r="D188" s="1">
        <f t="shared" si="11"/>
        <v>2.2822</v>
      </c>
    </row>
    <row r="189" spans="2:4" x14ac:dyDescent="0.35">
      <c r="B189">
        <v>187</v>
      </c>
      <c r="C189">
        <f t="shared" si="13"/>
        <v>23.065999999999942</v>
      </c>
      <c r="D189" s="1">
        <f t="shared" si="11"/>
        <v>1.8601000000000001</v>
      </c>
    </row>
    <row r="190" spans="2:4" x14ac:dyDescent="0.35">
      <c r="B190">
        <v>188</v>
      </c>
      <c r="C190">
        <f t="shared" si="13"/>
        <v>23.183999999999941</v>
      </c>
      <c r="D190" s="1">
        <f t="shared" si="11"/>
        <v>1.4424999999999999</v>
      </c>
    </row>
    <row r="191" spans="2:4" x14ac:dyDescent="0.35">
      <c r="B191">
        <v>189</v>
      </c>
      <c r="C191">
        <f t="shared" si="13"/>
        <v>23.301999999999939</v>
      </c>
      <c r="D191" s="1">
        <f t="shared" si="11"/>
        <v>1.0354000000000001</v>
      </c>
    </row>
    <row r="192" spans="2:4" x14ac:dyDescent="0.35">
      <c r="B192">
        <v>190</v>
      </c>
      <c r="C192">
        <f t="shared" si="13"/>
        <v>23.419999999999938</v>
      </c>
      <c r="D192" s="1">
        <f t="shared" si="11"/>
        <v>0.64439999999999997</v>
      </c>
    </row>
    <row r="193" spans="2:4" x14ac:dyDescent="0.35">
      <c r="B193">
        <v>191</v>
      </c>
      <c r="C193">
        <f t="shared" si="13"/>
        <v>23.537999999999936</v>
      </c>
      <c r="D193" s="1">
        <f t="shared" si="11"/>
        <v>0.27500000000000002</v>
      </c>
    </row>
    <row r="194" spans="2:4" x14ac:dyDescent="0.35">
      <c r="B194">
        <v>192</v>
      </c>
      <c r="C194">
        <f t="shared" si="13"/>
        <v>23.655999999999935</v>
      </c>
      <c r="D194" s="1">
        <f t="shared" ref="D194:D202" si="14">ROUND(POWER(C194,1/4)+2*SIN(C194)-3*COS(C194),4)</f>
        <v>-6.7500000000000004E-2</v>
      </c>
    </row>
    <row r="195" spans="2:4" x14ac:dyDescent="0.35">
      <c r="B195">
        <v>193</v>
      </c>
      <c r="C195">
        <f t="shared" si="13"/>
        <v>23.773999999999933</v>
      </c>
      <c r="D195" s="1">
        <f t="shared" si="14"/>
        <v>-0.3785</v>
      </c>
    </row>
    <row r="196" spans="2:4" x14ac:dyDescent="0.35">
      <c r="B196">
        <v>194</v>
      </c>
      <c r="C196">
        <f t="shared" ref="C196:C202" si="15">C195+$C$1</f>
        <v>23.891999999999932</v>
      </c>
      <c r="D196" s="1">
        <f t="shared" si="14"/>
        <v>-0.65349999999999997</v>
      </c>
    </row>
    <row r="197" spans="2:4" x14ac:dyDescent="0.35">
      <c r="B197">
        <v>195</v>
      </c>
      <c r="C197">
        <f t="shared" si="15"/>
        <v>24.009999999999931</v>
      </c>
      <c r="D197" s="1">
        <f t="shared" si="14"/>
        <v>-0.88859999999999995</v>
      </c>
    </row>
    <row r="198" spans="2:4" x14ac:dyDescent="0.35">
      <c r="B198">
        <v>196</v>
      </c>
      <c r="C198">
        <f t="shared" si="15"/>
        <v>24.127999999999929</v>
      </c>
      <c r="D198" s="1">
        <f t="shared" si="14"/>
        <v>-1.0807</v>
      </c>
    </row>
    <row r="199" spans="2:4" x14ac:dyDescent="0.35">
      <c r="B199">
        <v>197</v>
      </c>
      <c r="C199">
        <f t="shared" si="15"/>
        <v>24.245999999999928</v>
      </c>
      <c r="D199" s="1">
        <f t="shared" si="14"/>
        <v>-1.2267999999999999</v>
      </c>
    </row>
    <row r="200" spans="2:4" x14ac:dyDescent="0.35">
      <c r="B200">
        <v>198</v>
      </c>
      <c r="C200">
        <f t="shared" si="15"/>
        <v>24.363999999999926</v>
      </c>
      <c r="D200" s="1">
        <f t="shared" si="14"/>
        <v>-1.3250999999999999</v>
      </c>
    </row>
    <row r="201" spans="2:4" x14ac:dyDescent="0.35">
      <c r="B201">
        <v>199</v>
      </c>
      <c r="C201">
        <f t="shared" si="15"/>
        <v>24.481999999999925</v>
      </c>
      <c r="D201" s="1">
        <f t="shared" si="14"/>
        <v>-1.3741000000000001</v>
      </c>
    </row>
    <row r="202" spans="2:4" x14ac:dyDescent="0.35">
      <c r="B202">
        <v>200</v>
      </c>
      <c r="C202">
        <f t="shared" si="15"/>
        <v>24.599999999999923</v>
      </c>
      <c r="D202" s="1">
        <f t="shared" si="14"/>
        <v>-1.373</v>
      </c>
    </row>
  </sheetData>
  <mergeCells count="2">
    <mergeCell ref="F11:H11"/>
    <mergeCell ref="F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NS bessel</vt:lpstr>
      <vt:lpstr>Bessel 2023.1 (8 mốc)</vt:lpstr>
      <vt:lpstr>Sheet2</vt:lpstr>
      <vt:lpstr>Nội suy trung tâm (9 mốc)</vt:lpstr>
      <vt:lpstr>Bài 22 23 (Gauss I II 7 mốc)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Quyet Tien 20227033</dc:creator>
  <cp:lastModifiedBy>Dang Quyet Tien 20227033</cp:lastModifiedBy>
  <dcterms:created xsi:type="dcterms:W3CDTF">2024-10-15T06:36:26Z</dcterms:created>
  <dcterms:modified xsi:type="dcterms:W3CDTF">2024-10-29T03:01:11Z</dcterms:modified>
</cp:coreProperties>
</file>