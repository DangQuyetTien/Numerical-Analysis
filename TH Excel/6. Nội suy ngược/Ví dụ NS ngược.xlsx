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ien\Desktop\PPS\Tien\6. Nội suy ngược\"/>
    </mc:Choice>
  </mc:AlternateContent>
  <xr:revisionPtr revIDLastSave="0" documentId="13_ncr:1_{1AD87567-5FBE-4993-85AB-02E27C74745D}" xr6:coauthVersionLast="47" xr6:coauthVersionMax="47" xr10:uidLastSave="{00000000-0000-0000-0000-000000000000}"/>
  <bookViews>
    <workbookView xWindow="-110" yWindow="-110" windowWidth="19420" windowHeight="10300" firstSheet="1" activeTab="1" xr2:uid="{D41FF548-2DFC-4014-B236-753DC830242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J32" i="2"/>
  <c r="K19" i="2"/>
  <c r="I63" i="2"/>
  <c r="K32" i="2" l="1"/>
  <c r="I32" i="2"/>
  <c r="H61" i="2"/>
  <c r="J22" i="2"/>
  <c r="O9" i="2"/>
  <c r="N8" i="2"/>
  <c r="M7" i="2"/>
  <c r="L6" i="2"/>
  <c r="K6" i="2"/>
  <c r="K5" i="2"/>
  <c r="J4" i="2"/>
  <c r="O64" i="2"/>
  <c r="N32" i="2"/>
  <c r="O32" i="2"/>
  <c r="H32" i="2"/>
  <c r="H22" i="2"/>
  <c r="N138" i="1"/>
  <c r="N137" i="1"/>
  <c r="I137" i="1"/>
  <c r="I106" i="1"/>
  <c r="N107" i="1"/>
  <c r="K106" i="1"/>
  <c r="L106" i="1" s="1"/>
  <c r="M106" i="1" s="1"/>
  <c r="N106" i="1" s="1"/>
  <c r="J106" i="1"/>
  <c r="K137" i="1"/>
  <c r="L137" i="1" s="1"/>
  <c r="M137" i="1" s="1"/>
  <c r="J137" i="1"/>
  <c r="H137" i="1"/>
  <c r="H135" i="1"/>
  <c r="N135" i="1"/>
  <c r="M135" i="1"/>
  <c r="L135" i="1"/>
  <c r="K135" i="1"/>
  <c r="J135" i="1"/>
  <c r="I135" i="1"/>
  <c r="K133" i="1"/>
  <c r="L133" i="1" s="1"/>
  <c r="J133" i="1"/>
  <c r="K132" i="1"/>
  <c r="J132" i="1"/>
  <c r="J131" i="1"/>
  <c r="K131" i="1" s="1"/>
  <c r="J130" i="1"/>
  <c r="K130" i="1" s="1"/>
  <c r="J129" i="1"/>
  <c r="I128" i="1" a="1"/>
  <c r="I128" i="1" s="1"/>
  <c r="H128" i="1" a="1"/>
  <c r="H128" i="1" s="1"/>
  <c r="H106" i="1"/>
  <c r="H104" i="1"/>
  <c r="N104" i="1"/>
  <c r="M104" i="1"/>
  <c r="L104" i="1"/>
  <c r="K104" i="1"/>
  <c r="J104" i="1"/>
  <c r="I104" i="1"/>
  <c r="N102" i="1"/>
  <c r="K99" i="1"/>
  <c r="K100" i="1"/>
  <c r="L100" i="1"/>
  <c r="K101" i="1"/>
  <c r="L101" i="1" s="1"/>
  <c r="M101" i="1" s="1"/>
  <c r="K102" i="1"/>
  <c r="J102" i="1"/>
  <c r="J101" i="1"/>
  <c r="J100" i="1"/>
  <c r="J99" i="1"/>
  <c r="J98" i="1"/>
  <c r="I97" i="1" a="1"/>
  <c r="I97" i="1" s="1"/>
  <c r="H97" i="1" a="1"/>
  <c r="H97" i="1" s="1"/>
  <c r="K47" i="1"/>
  <c r="L47" i="1" s="1"/>
  <c r="M47" i="1" s="1"/>
  <c r="N47" i="1" s="1"/>
  <c r="J47" i="1"/>
  <c r="H47" i="1"/>
  <c r="I47" i="1"/>
  <c r="I46" i="1" a="1"/>
  <c r="I46" i="1" s="1"/>
  <c r="I41" i="1" a="1"/>
  <c r="I41" i="1" s="1"/>
  <c r="I42" i="1" s="1" a="1"/>
  <c r="I42" i="1" s="1"/>
  <c r="I43" i="1" s="1" a="1"/>
  <c r="I43" i="1" s="1"/>
  <c r="I40" i="1"/>
  <c r="I40" i="1" a="1"/>
  <c r="I39" i="1" a="1"/>
  <c r="I39" i="1" s="1"/>
  <c r="H39" i="1" a="1"/>
  <c r="H39" i="1" s="1"/>
  <c r="N36" i="1"/>
  <c r="M36" i="1"/>
  <c r="L36" i="1"/>
  <c r="K36" i="1"/>
  <c r="J36" i="1"/>
  <c r="I36" i="1"/>
  <c r="N34" i="1"/>
  <c r="M34" i="1"/>
  <c r="M33" i="1"/>
  <c r="L34" i="1"/>
  <c r="L33" i="1"/>
  <c r="L32" i="1"/>
  <c r="K34" i="1"/>
  <c r="K33" i="1"/>
  <c r="K32" i="1"/>
  <c r="K31" i="1"/>
  <c r="J34" i="1"/>
  <c r="J33" i="1"/>
  <c r="J32" i="1"/>
  <c r="J31" i="1"/>
  <c r="J30" i="1"/>
  <c r="I29" i="1" a="1"/>
  <c r="I29" i="1" s="1"/>
  <c r="H29" i="1" a="1"/>
  <c r="H29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3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F1" i="1"/>
  <c r="D2" i="2"/>
  <c r="C3" i="2"/>
  <c r="C4" i="1"/>
  <c r="C5" i="1" s="1"/>
  <c r="C3" i="1"/>
  <c r="D3" i="1" s="1"/>
  <c r="D2" i="1"/>
  <c r="D3" i="2" l="1"/>
  <c r="C4" i="2"/>
  <c r="F2" i="2"/>
  <c r="L131" i="1"/>
  <c r="L132" i="1"/>
  <c r="M132" i="1" s="1"/>
  <c r="L102" i="1"/>
  <c r="M102" i="1"/>
  <c r="L46" i="1"/>
  <c r="K46" i="1"/>
  <c r="N46" i="1"/>
  <c r="J46" i="1"/>
  <c r="M46" i="1"/>
  <c r="D5" i="1"/>
  <c r="C6" i="1"/>
  <c r="D4" i="1"/>
  <c r="C5" i="2" l="1"/>
  <c r="D4" i="2"/>
  <c r="F3" i="2"/>
  <c r="E3" i="2"/>
  <c r="M133" i="1"/>
  <c r="N133" i="1" s="1"/>
  <c r="D6" i="1"/>
  <c r="C7" i="1"/>
  <c r="E4" i="2" l="1"/>
  <c r="C6" i="2"/>
  <c r="D5" i="2"/>
  <c r="C8" i="1"/>
  <c r="D7" i="1"/>
  <c r="E5" i="2" l="1"/>
  <c r="F4" i="2"/>
  <c r="C7" i="2"/>
  <c r="D6" i="2"/>
  <c r="C9" i="1"/>
  <c r="D8" i="1"/>
  <c r="E6" i="2" l="1"/>
  <c r="F5" i="2"/>
  <c r="C8" i="2"/>
  <c r="D7" i="2"/>
  <c r="D9" i="1"/>
  <c r="C10" i="1"/>
  <c r="E7" i="2" l="1"/>
  <c r="F6" i="2"/>
  <c r="C9" i="2"/>
  <c r="D8" i="2"/>
  <c r="I3" i="2" a="1"/>
  <c r="D10" i="1"/>
  <c r="C11" i="1"/>
  <c r="I3" i="2" l="1"/>
  <c r="I19" i="2" s="1"/>
  <c r="E8" i="2"/>
  <c r="F7" i="2"/>
  <c r="C10" i="2"/>
  <c r="D9" i="2"/>
  <c r="C12" i="1"/>
  <c r="D11" i="1"/>
  <c r="E9" i="2" l="1"/>
  <c r="F8" i="2"/>
  <c r="H3" i="2" a="1"/>
  <c r="C11" i="2"/>
  <c r="D10" i="2"/>
  <c r="C13" i="1"/>
  <c r="D12" i="1"/>
  <c r="E10" i="2" l="1"/>
  <c r="F9" i="2"/>
  <c r="C12" i="2"/>
  <c r="D11" i="2"/>
  <c r="H3" i="2"/>
  <c r="H12" i="2" s="1" a="1"/>
  <c r="J9" i="2"/>
  <c r="J8" i="2"/>
  <c r="J7" i="2"/>
  <c r="J6" i="2"/>
  <c r="J5" i="2"/>
  <c r="J19" i="2"/>
  <c r="D13" i="1"/>
  <c r="C14" i="1"/>
  <c r="L19" i="2" l="1"/>
  <c r="K7" i="2"/>
  <c r="L7" i="2" s="1"/>
  <c r="M19" i="2" s="1"/>
  <c r="K8" i="2"/>
  <c r="L8" i="2" s="1"/>
  <c r="M8" i="2" s="1"/>
  <c r="N19" i="2" s="1"/>
  <c r="K9" i="2"/>
  <c r="L9" i="2" s="1"/>
  <c r="M9" i="2" s="1"/>
  <c r="N9" i="2" s="1"/>
  <c r="O19" i="2" s="1"/>
  <c r="H12" i="2"/>
  <c r="I12" i="2" s="1" a="1"/>
  <c r="I12" i="2" s="1"/>
  <c r="I13" i="2" a="1"/>
  <c r="I13" i="2" s="1"/>
  <c r="I14" i="2" s="1" a="1"/>
  <c r="I14" i="2" s="1"/>
  <c r="I15" i="2" s="1" a="1"/>
  <c r="I15" i="2" s="1"/>
  <c r="I16" i="2" s="1" a="1"/>
  <c r="I16" i="2" s="1"/>
  <c r="I17" i="2" s="1" a="1"/>
  <c r="I17" i="2" s="1"/>
  <c r="E11" i="2"/>
  <c r="F10" i="2"/>
  <c r="C13" i="2"/>
  <c r="D12" i="2"/>
  <c r="D14" i="1"/>
  <c r="C15" i="1"/>
  <c r="E12" i="2" l="1"/>
  <c r="F11" i="2"/>
  <c r="C14" i="2"/>
  <c r="D13" i="2"/>
  <c r="I21" i="2" a="1"/>
  <c r="I21" i="2" s="1"/>
  <c r="I22" i="2" s="1"/>
  <c r="K22" i="2" s="1"/>
  <c r="L22" i="2" s="1"/>
  <c r="M22" i="2" s="1"/>
  <c r="N22" i="2" s="1"/>
  <c r="O22" i="2" s="1"/>
  <c r="C16" i="1"/>
  <c r="D15" i="1"/>
  <c r="E13" i="2" l="1"/>
  <c r="F12" i="2"/>
  <c r="C15" i="2"/>
  <c r="D14" i="2"/>
  <c r="C17" i="1"/>
  <c r="D16" i="1"/>
  <c r="E14" i="2" l="1"/>
  <c r="F13" i="2"/>
  <c r="C16" i="2"/>
  <c r="D15" i="2"/>
  <c r="D17" i="1"/>
  <c r="C18" i="1"/>
  <c r="E15" i="2" l="1"/>
  <c r="F14" i="2"/>
  <c r="C17" i="2"/>
  <c r="D16" i="2"/>
  <c r="D18" i="1"/>
  <c r="C19" i="1"/>
  <c r="E16" i="2" l="1"/>
  <c r="F15" i="2"/>
  <c r="C18" i="2"/>
  <c r="D17" i="2"/>
  <c r="C20" i="1"/>
  <c r="D19" i="1"/>
  <c r="E17" i="2" l="1"/>
  <c r="F16" i="2"/>
  <c r="C19" i="2"/>
  <c r="D18" i="2"/>
  <c r="C21" i="1"/>
  <c r="D20" i="1"/>
  <c r="E18" i="2" l="1"/>
  <c r="F17" i="2"/>
  <c r="C20" i="2"/>
  <c r="D19" i="2"/>
  <c r="D21" i="1"/>
  <c r="C22" i="1"/>
  <c r="E19" i="2" l="1"/>
  <c r="F18" i="2"/>
  <c r="C21" i="2"/>
  <c r="D20" i="2"/>
  <c r="D22" i="1"/>
  <c r="C23" i="1"/>
  <c r="E20" i="2" l="1"/>
  <c r="F19" i="2"/>
  <c r="C22" i="2"/>
  <c r="D21" i="2"/>
  <c r="C24" i="1"/>
  <c r="D23" i="1"/>
  <c r="E21" i="2" l="1"/>
  <c r="F20" i="2"/>
  <c r="C23" i="2"/>
  <c r="D22" i="2"/>
  <c r="C25" i="1"/>
  <c r="D24" i="1"/>
  <c r="E22" i="2" l="1"/>
  <c r="F21" i="2"/>
  <c r="C24" i="2"/>
  <c r="D23" i="2"/>
  <c r="D25" i="1"/>
  <c r="C26" i="1"/>
  <c r="E23" i="2" l="1"/>
  <c r="F22" i="2"/>
  <c r="C25" i="2"/>
  <c r="D24" i="2"/>
  <c r="D26" i="1"/>
  <c r="C27" i="1"/>
  <c r="E24" i="2" l="1"/>
  <c r="F23" i="2"/>
  <c r="C26" i="2"/>
  <c r="D25" i="2"/>
  <c r="C28" i="1"/>
  <c r="D27" i="1"/>
  <c r="E25" i="2" l="1"/>
  <c r="F24" i="2"/>
  <c r="C27" i="2"/>
  <c r="D26" i="2"/>
  <c r="C29" i="1"/>
  <c r="D28" i="1"/>
  <c r="E26" i="2" l="1"/>
  <c r="F25" i="2"/>
  <c r="C28" i="2"/>
  <c r="D27" i="2"/>
  <c r="D29" i="1"/>
  <c r="C30" i="1"/>
  <c r="E27" i="2" l="1"/>
  <c r="F26" i="2"/>
  <c r="C29" i="2"/>
  <c r="D28" i="2"/>
  <c r="D30" i="1"/>
  <c r="C31" i="1"/>
  <c r="E28" i="2" l="1"/>
  <c r="F27" i="2"/>
  <c r="C30" i="2"/>
  <c r="D29" i="2"/>
  <c r="C32" i="1"/>
  <c r="D31" i="1"/>
  <c r="E29" i="2" l="1"/>
  <c r="F28" i="2"/>
  <c r="C31" i="2"/>
  <c r="D30" i="2"/>
  <c r="H24" i="2" a="1"/>
  <c r="H24" i="2" s="1"/>
  <c r="C33" i="1"/>
  <c r="D32" i="1"/>
  <c r="E30" i="2" l="1"/>
  <c r="F29" i="2"/>
  <c r="I24" i="2" a="1"/>
  <c r="C32" i="2"/>
  <c r="D31" i="2"/>
  <c r="D33" i="1"/>
  <c r="C34" i="1"/>
  <c r="E31" i="2" l="1"/>
  <c r="F30" i="2"/>
  <c r="C33" i="2"/>
  <c r="D32" i="2"/>
  <c r="I24" i="2"/>
  <c r="J30" i="2"/>
  <c r="J29" i="2"/>
  <c r="J28" i="2"/>
  <c r="J27" i="2"/>
  <c r="J26" i="2"/>
  <c r="J25" i="2"/>
  <c r="D34" i="1"/>
  <c r="C35" i="1"/>
  <c r="K26" i="2" l="1"/>
  <c r="K27" i="2"/>
  <c r="L27" i="2" s="1"/>
  <c r="L32" i="2" s="1"/>
  <c r="K28" i="2"/>
  <c r="L28" i="2" s="1"/>
  <c r="M28" i="2" s="1"/>
  <c r="M32" i="2" s="1"/>
  <c r="K29" i="2"/>
  <c r="L29" i="2" s="1"/>
  <c r="M29" i="2" s="1"/>
  <c r="N29" i="2" s="1"/>
  <c r="K30" i="2"/>
  <c r="L30" i="2" s="1"/>
  <c r="M30" i="2" s="1"/>
  <c r="N30" i="2" s="1"/>
  <c r="O30" i="2" s="1"/>
  <c r="G34" i="2"/>
  <c r="E32" i="2"/>
  <c r="F31" i="2"/>
  <c r="C34" i="2"/>
  <c r="D33" i="2"/>
  <c r="C36" i="1"/>
  <c r="D35" i="1"/>
  <c r="E33" i="2" l="1"/>
  <c r="F32" i="2"/>
  <c r="C35" i="2"/>
  <c r="D34" i="2"/>
  <c r="I34" i="2"/>
  <c r="J34" i="2" s="1"/>
  <c r="K34" i="2" s="1"/>
  <c r="L34" i="2" s="1"/>
  <c r="C37" i="1"/>
  <c r="D36" i="1"/>
  <c r="M34" i="2" l="1"/>
  <c r="M35" i="2" s="1"/>
  <c r="E34" i="2"/>
  <c r="F33" i="2"/>
  <c r="C36" i="2"/>
  <c r="D35" i="2"/>
  <c r="D37" i="1"/>
  <c r="C38" i="1"/>
  <c r="E35" i="2" l="1"/>
  <c r="C37" i="2"/>
  <c r="D36" i="2"/>
  <c r="D38" i="1"/>
  <c r="C39" i="1"/>
  <c r="E36" i="2" l="1"/>
  <c r="F35" i="2"/>
  <c r="C38" i="2"/>
  <c r="D37" i="2"/>
  <c r="C40" i="1"/>
  <c r="D39" i="1"/>
  <c r="E37" i="2" l="1"/>
  <c r="F36" i="2"/>
  <c r="C39" i="2"/>
  <c r="D38" i="2"/>
  <c r="C41" i="1"/>
  <c r="D40" i="1"/>
  <c r="E38" i="2" l="1"/>
  <c r="F37" i="2"/>
  <c r="C40" i="2"/>
  <c r="D39" i="2"/>
  <c r="D41" i="1"/>
  <c r="C42" i="1"/>
  <c r="E39" i="2" l="1"/>
  <c r="F38" i="2"/>
  <c r="C41" i="2"/>
  <c r="D40" i="2"/>
  <c r="D42" i="1"/>
  <c r="C43" i="1"/>
  <c r="E40" i="2" l="1"/>
  <c r="F39" i="2"/>
  <c r="C42" i="2"/>
  <c r="D41" i="2"/>
  <c r="C44" i="1"/>
  <c r="D43" i="1"/>
  <c r="E41" i="2" l="1"/>
  <c r="F40" i="2"/>
  <c r="C43" i="2"/>
  <c r="D42" i="2"/>
  <c r="C45" i="1"/>
  <c r="D44" i="1"/>
  <c r="E42" i="2" l="1"/>
  <c r="F41" i="2"/>
  <c r="C44" i="2"/>
  <c r="D43" i="2"/>
  <c r="D45" i="1"/>
  <c r="C46" i="1"/>
  <c r="E43" i="2" l="1"/>
  <c r="F42" i="2"/>
  <c r="C45" i="2"/>
  <c r="D44" i="2"/>
  <c r="D46" i="1"/>
  <c r="C47" i="1"/>
  <c r="E44" i="2" l="1"/>
  <c r="F43" i="2"/>
  <c r="C46" i="2"/>
  <c r="D45" i="2"/>
  <c r="C48" i="1"/>
  <c r="D47" i="1"/>
  <c r="E45" i="2" l="1"/>
  <c r="F44" i="2"/>
  <c r="C47" i="2"/>
  <c r="D46" i="2"/>
  <c r="C49" i="1"/>
  <c r="D48" i="1"/>
  <c r="E46" i="2" l="1"/>
  <c r="F45" i="2"/>
  <c r="C48" i="2"/>
  <c r="D47" i="2"/>
  <c r="D49" i="1"/>
  <c r="C50" i="1"/>
  <c r="E47" i="2" l="1"/>
  <c r="F46" i="2"/>
  <c r="C49" i="2"/>
  <c r="D48" i="2"/>
  <c r="D50" i="1"/>
  <c r="C51" i="1"/>
  <c r="E48" i="2" l="1"/>
  <c r="F47" i="2"/>
  <c r="C50" i="2"/>
  <c r="D49" i="2"/>
  <c r="C52" i="1"/>
  <c r="D51" i="1"/>
  <c r="E49" i="2" l="1"/>
  <c r="F48" i="2"/>
  <c r="C51" i="2"/>
  <c r="D50" i="2"/>
  <c r="C53" i="1"/>
  <c r="D52" i="1"/>
  <c r="E50" i="2" l="1"/>
  <c r="F49" i="2"/>
  <c r="C52" i="2"/>
  <c r="D51" i="2"/>
  <c r="D53" i="1"/>
  <c r="C54" i="1"/>
  <c r="E51" i="2" l="1"/>
  <c r="F50" i="2"/>
  <c r="C53" i="2"/>
  <c r="D52" i="2"/>
  <c r="D54" i="1"/>
  <c r="C55" i="1"/>
  <c r="E52" i="2" l="1"/>
  <c r="F51" i="2"/>
  <c r="C54" i="2"/>
  <c r="D53" i="2"/>
  <c r="C56" i="1"/>
  <c r="D55" i="1"/>
  <c r="E53" i="2" l="1"/>
  <c r="F52" i="2"/>
  <c r="C55" i="2"/>
  <c r="D54" i="2"/>
  <c r="C57" i="1"/>
  <c r="D56" i="1"/>
  <c r="E54" i="2" l="1"/>
  <c r="F53" i="2"/>
  <c r="C56" i="2"/>
  <c r="D55" i="2"/>
  <c r="D57" i="1"/>
  <c r="C58" i="1"/>
  <c r="E55" i="2" l="1"/>
  <c r="F54" i="2"/>
  <c r="C57" i="2"/>
  <c r="D56" i="2"/>
  <c r="D58" i="1"/>
  <c r="C59" i="1"/>
  <c r="E56" i="2" l="1"/>
  <c r="F55" i="2"/>
  <c r="C58" i="2"/>
  <c r="D57" i="2"/>
  <c r="C60" i="1"/>
  <c r="D59" i="1"/>
  <c r="E57" i="2" l="1"/>
  <c r="F56" i="2"/>
  <c r="C59" i="2"/>
  <c r="D58" i="2"/>
  <c r="C61" i="1"/>
  <c r="D60" i="1"/>
  <c r="E58" i="2" l="1"/>
  <c r="F57" i="2"/>
  <c r="C60" i="2"/>
  <c r="D59" i="2"/>
  <c r="H53" i="2" a="1"/>
  <c r="H53" i="2" s="1"/>
  <c r="D61" i="1"/>
  <c r="C62" i="1"/>
  <c r="E59" i="2" l="1"/>
  <c r="F58" i="2"/>
  <c r="I53" i="2" a="1"/>
  <c r="C61" i="2"/>
  <c r="D60" i="2"/>
  <c r="D62" i="1"/>
  <c r="C63" i="1"/>
  <c r="E60" i="2" l="1"/>
  <c r="F59" i="2"/>
  <c r="C62" i="2"/>
  <c r="D61" i="2"/>
  <c r="I53" i="2"/>
  <c r="I61" i="2"/>
  <c r="J59" i="2"/>
  <c r="J58" i="2"/>
  <c r="J57" i="2"/>
  <c r="J56" i="2"/>
  <c r="J55" i="2"/>
  <c r="J54" i="2"/>
  <c r="C64" i="1"/>
  <c r="D63" i="1"/>
  <c r="K55" i="2" l="1"/>
  <c r="K56" i="2"/>
  <c r="L56" i="2" s="1"/>
  <c r="K57" i="2"/>
  <c r="L57" i="2" s="1"/>
  <c r="M57" i="2" s="1"/>
  <c r="K58" i="2"/>
  <c r="L58" i="2" s="1"/>
  <c r="M58" i="2" s="1"/>
  <c r="N58" i="2" s="1"/>
  <c r="J61" i="2"/>
  <c r="K59" i="2"/>
  <c r="G63" i="2"/>
  <c r="E61" i="2"/>
  <c r="F60" i="2"/>
  <c r="C63" i="2"/>
  <c r="D62" i="2"/>
  <c r="C65" i="1"/>
  <c r="D64" i="1"/>
  <c r="E62" i="2" l="1"/>
  <c r="F61" i="2"/>
  <c r="C64" i="2"/>
  <c r="D63" i="2"/>
  <c r="K61" i="2"/>
  <c r="L59" i="2"/>
  <c r="D65" i="1"/>
  <c r="C66" i="1"/>
  <c r="L61" i="2" l="1"/>
  <c r="M59" i="2"/>
  <c r="E63" i="2"/>
  <c r="F62" i="2"/>
  <c r="C65" i="2"/>
  <c r="D64" i="2"/>
  <c r="D66" i="1"/>
  <c r="C67" i="1"/>
  <c r="E64" i="2" l="1"/>
  <c r="F63" i="2"/>
  <c r="C66" i="2"/>
  <c r="D65" i="2"/>
  <c r="M61" i="2"/>
  <c r="N59" i="2"/>
  <c r="C68" i="1"/>
  <c r="D67" i="1"/>
  <c r="N61" i="2" l="1"/>
  <c r="O59" i="2"/>
  <c r="O61" i="2" s="1"/>
  <c r="H63" i="2"/>
  <c r="J63" i="2" s="1"/>
  <c r="K63" i="2" s="1"/>
  <c r="L63" i="2" s="1"/>
  <c r="M63" i="2" s="1"/>
  <c r="N63" i="2" s="1"/>
  <c r="O63" i="2" s="1"/>
  <c r="E65" i="2"/>
  <c r="F64" i="2"/>
  <c r="C67" i="2"/>
  <c r="D66" i="2"/>
  <c r="C69" i="1"/>
  <c r="D68" i="1"/>
  <c r="E66" i="2" l="1"/>
  <c r="F65" i="2"/>
  <c r="C68" i="2"/>
  <c r="D67" i="2"/>
  <c r="D69" i="1"/>
  <c r="C70" i="1"/>
  <c r="E67" i="2" l="1"/>
  <c r="F66" i="2"/>
  <c r="C69" i="2"/>
  <c r="D68" i="2"/>
  <c r="D70" i="1"/>
  <c r="C71" i="1"/>
  <c r="E68" i="2" l="1"/>
  <c r="F67" i="2"/>
  <c r="C70" i="2"/>
  <c r="D69" i="2"/>
  <c r="C72" i="1"/>
  <c r="D71" i="1"/>
  <c r="E69" i="2" l="1"/>
  <c r="F68" i="2"/>
  <c r="C71" i="2"/>
  <c r="D70" i="2"/>
  <c r="C73" i="1"/>
  <c r="D72" i="1"/>
  <c r="E70" i="2" l="1"/>
  <c r="F69" i="2"/>
  <c r="C72" i="2"/>
  <c r="D71" i="2"/>
  <c r="D73" i="1"/>
  <c r="C74" i="1"/>
  <c r="E71" i="2" l="1"/>
  <c r="F70" i="2"/>
  <c r="C73" i="2"/>
  <c r="D72" i="2"/>
  <c r="D74" i="1"/>
  <c r="C75" i="1"/>
  <c r="E72" i="2" l="1"/>
  <c r="F71" i="2"/>
  <c r="C74" i="2"/>
  <c r="D73" i="2"/>
  <c r="C76" i="1"/>
  <c r="D75" i="1"/>
  <c r="E73" i="2" l="1"/>
  <c r="F72" i="2"/>
  <c r="C75" i="2"/>
  <c r="D74" i="2"/>
  <c r="C77" i="1"/>
  <c r="D76" i="1"/>
  <c r="E74" i="2" l="1"/>
  <c r="F73" i="2"/>
  <c r="C76" i="2"/>
  <c r="D75" i="2"/>
  <c r="D77" i="1"/>
  <c r="C78" i="1"/>
  <c r="E75" i="2" l="1"/>
  <c r="F74" i="2"/>
  <c r="C77" i="2"/>
  <c r="D76" i="2"/>
  <c r="D78" i="1"/>
  <c r="C79" i="1"/>
  <c r="E76" i="2" l="1"/>
  <c r="F75" i="2"/>
  <c r="C78" i="2"/>
  <c r="D77" i="2"/>
  <c r="C80" i="1"/>
  <c r="D79" i="1"/>
  <c r="E77" i="2" l="1"/>
  <c r="F76" i="2"/>
  <c r="C79" i="2"/>
  <c r="D78" i="2"/>
  <c r="C81" i="1"/>
  <c r="D80" i="1"/>
  <c r="E78" i="2" l="1"/>
  <c r="F77" i="2"/>
  <c r="C80" i="2"/>
  <c r="D79" i="2"/>
  <c r="D81" i="1"/>
  <c r="C82" i="1"/>
  <c r="E79" i="2" l="1"/>
  <c r="F78" i="2"/>
  <c r="C81" i="2"/>
  <c r="D80" i="2"/>
  <c r="D82" i="1"/>
  <c r="C83" i="1"/>
  <c r="E80" i="2" l="1"/>
  <c r="F79" i="2"/>
  <c r="C82" i="2"/>
  <c r="D81" i="2"/>
  <c r="C84" i="1"/>
  <c r="D83" i="1"/>
  <c r="E81" i="2" l="1"/>
  <c r="F80" i="2"/>
  <c r="C83" i="2"/>
  <c r="D82" i="2"/>
  <c r="C85" i="1"/>
  <c r="D84" i="1"/>
  <c r="E82" i="2" l="1"/>
  <c r="F81" i="2"/>
  <c r="C84" i="2"/>
  <c r="D83" i="2"/>
  <c r="D85" i="1"/>
  <c r="C86" i="1"/>
  <c r="E83" i="2" l="1"/>
  <c r="F82" i="2"/>
  <c r="C85" i="2"/>
  <c r="D84" i="2"/>
  <c r="D86" i="1"/>
  <c r="C87" i="1"/>
  <c r="E84" i="2" l="1"/>
  <c r="F83" i="2"/>
  <c r="C86" i="2"/>
  <c r="D85" i="2"/>
  <c r="C88" i="1"/>
  <c r="D87" i="1"/>
  <c r="E85" i="2" l="1"/>
  <c r="F84" i="2"/>
  <c r="C87" i="2"/>
  <c r="D86" i="2"/>
  <c r="C89" i="1"/>
  <c r="D88" i="1"/>
  <c r="E86" i="2" l="1"/>
  <c r="F85" i="2"/>
  <c r="C88" i="2"/>
  <c r="D87" i="2"/>
  <c r="D89" i="1"/>
  <c r="C90" i="1"/>
  <c r="E87" i="2" l="1"/>
  <c r="F86" i="2"/>
  <c r="C89" i="2"/>
  <c r="D88" i="2"/>
  <c r="D90" i="1"/>
  <c r="C91" i="1"/>
  <c r="E88" i="2" l="1"/>
  <c r="F87" i="2"/>
  <c r="C90" i="2"/>
  <c r="D89" i="2"/>
  <c r="C92" i="1"/>
  <c r="D91" i="1"/>
  <c r="E89" i="2" l="1"/>
  <c r="F88" i="2"/>
  <c r="C91" i="2"/>
  <c r="D90" i="2"/>
  <c r="C93" i="1"/>
  <c r="D92" i="1"/>
  <c r="E90" i="2" l="1"/>
  <c r="F89" i="2"/>
  <c r="C92" i="2"/>
  <c r="D91" i="2"/>
  <c r="D93" i="1"/>
  <c r="C94" i="1"/>
  <c r="E91" i="2" l="1"/>
  <c r="F90" i="2"/>
  <c r="C93" i="2"/>
  <c r="D92" i="2"/>
  <c r="D94" i="1"/>
  <c r="C95" i="1"/>
  <c r="E92" i="2" l="1"/>
  <c r="F91" i="2"/>
  <c r="C94" i="2"/>
  <c r="D93" i="2"/>
  <c r="C96" i="1"/>
  <c r="D95" i="1"/>
  <c r="E93" i="2" l="1"/>
  <c r="F92" i="2"/>
  <c r="C95" i="2"/>
  <c r="D94" i="2"/>
  <c r="C97" i="1"/>
  <c r="D96" i="1"/>
  <c r="E94" i="2" l="1"/>
  <c r="F93" i="2"/>
  <c r="C96" i="2"/>
  <c r="D95" i="2"/>
  <c r="D97" i="1"/>
  <c r="C98" i="1"/>
  <c r="E95" i="2" l="1"/>
  <c r="F94" i="2"/>
  <c r="C97" i="2"/>
  <c r="D96" i="2"/>
  <c r="D98" i="1"/>
  <c r="C99" i="1"/>
  <c r="E96" i="2" l="1"/>
  <c r="F95" i="2"/>
  <c r="C98" i="2"/>
  <c r="D97" i="2"/>
  <c r="C100" i="1"/>
  <c r="D99" i="1"/>
  <c r="E97" i="2" l="1"/>
  <c r="F96" i="2"/>
  <c r="C99" i="2"/>
  <c r="D98" i="2"/>
  <c r="C101" i="1"/>
  <c r="D100" i="1"/>
  <c r="E98" i="2" l="1"/>
  <c r="F97" i="2"/>
  <c r="C100" i="2"/>
  <c r="D99" i="2"/>
  <c r="D101" i="1"/>
  <c r="C102" i="1"/>
  <c r="E99" i="2" l="1"/>
  <c r="F98" i="2"/>
  <c r="C101" i="2"/>
  <c r="D100" i="2"/>
  <c r="D102" i="1"/>
  <c r="C103" i="1"/>
  <c r="E100" i="2" l="1"/>
  <c r="F99" i="2"/>
  <c r="C102" i="2"/>
  <c r="D101" i="2"/>
  <c r="C104" i="1"/>
  <c r="D103" i="1"/>
  <c r="E101" i="2" l="1"/>
  <c r="F100" i="2"/>
  <c r="C103" i="2"/>
  <c r="D102" i="2"/>
  <c r="C105" i="1"/>
  <c r="D104" i="1"/>
  <c r="E102" i="2" l="1"/>
  <c r="F101" i="2"/>
  <c r="C104" i="2"/>
  <c r="D103" i="2"/>
  <c r="D105" i="1"/>
  <c r="C106" i="1"/>
  <c r="E103" i="2" l="1"/>
  <c r="F102" i="2"/>
  <c r="C105" i="2"/>
  <c r="D104" i="2"/>
  <c r="D106" i="1"/>
  <c r="C107" i="1"/>
  <c r="E104" i="2" l="1"/>
  <c r="F103" i="2"/>
  <c r="C106" i="2"/>
  <c r="D105" i="2"/>
  <c r="C108" i="1"/>
  <c r="D107" i="1"/>
  <c r="E105" i="2" l="1"/>
  <c r="F104" i="2"/>
  <c r="C107" i="2"/>
  <c r="D106" i="2"/>
  <c r="C109" i="1"/>
  <c r="D108" i="1"/>
  <c r="E106" i="2" l="1"/>
  <c r="F105" i="2"/>
  <c r="C108" i="2"/>
  <c r="D107" i="2"/>
  <c r="D109" i="1"/>
  <c r="C110" i="1"/>
  <c r="E107" i="2" l="1"/>
  <c r="F106" i="2"/>
  <c r="C109" i="2"/>
  <c r="D108" i="2"/>
  <c r="D110" i="1"/>
  <c r="C111" i="1"/>
  <c r="E108" i="2" l="1"/>
  <c r="F107" i="2"/>
  <c r="C110" i="2"/>
  <c r="D109" i="2"/>
  <c r="C112" i="1"/>
  <c r="D111" i="1"/>
  <c r="E109" i="2" l="1"/>
  <c r="F108" i="2"/>
  <c r="C111" i="2"/>
  <c r="D110" i="2"/>
  <c r="C113" i="1"/>
  <c r="D112" i="1"/>
  <c r="E110" i="2" l="1"/>
  <c r="F109" i="2"/>
  <c r="C112" i="2"/>
  <c r="D111" i="2"/>
  <c r="D113" i="1"/>
  <c r="C114" i="1"/>
  <c r="E111" i="2" l="1"/>
  <c r="F110" i="2"/>
  <c r="C113" i="2"/>
  <c r="D112" i="2"/>
  <c r="D114" i="1"/>
  <c r="C115" i="1"/>
  <c r="E112" i="2" l="1"/>
  <c r="F111" i="2"/>
  <c r="C114" i="2"/>
  <c r="D113" i="2"/>
  <c r="C116" i="1"/>
  <c r="D115" i="1"/>
  <c r="E113" i="2" l="1"/>
  <c r="F112" i="2"/>
  <c r="C115" i="2"/>
  <c r="D114" i="2"/>
  <c r="C117" i="1"/>
  <c r="D116" i="1"/>
  <c r="E114" i="2" l="1"/>
  <c r="F113" i="2"/>
  <c r="C116" i="2"/>
  <c r="D115" i="2"/>
  <c r="D117" i="1"/>
  <c r="C118" i="1"/>
  <c r="E115" i="2" l="1"/>
  <c r="F114" i="2"/>
  <c r="C117" i="2"/>
  <c r="D116" i="2"/>
  <c r="D118" i="1"/>
  <c r="C119" i="1"/>
  <c r="E116" i="2" l="1"/>
  <c r="F115" i="2"/>
  <c r="C118" i="2"/>
  <c r="D117" i="2"/>
  <c r="C120" i="1"/>
  <c r="D119" i="1"/>
  <c r="E117" i="2" l="1"/>
  <c r="F116" i="2"/>
  <c r="C119" i="2"/>
  <c r="D118" i="2"/>
  <c r="C121" i="1"/>
  <c r="D120" i="1"/>
  <c r="E118" i="2" l="1"/>
  <c r="F117" i="2"/>
  <c r="C120" i="2"/>
  <c r="D119" i="2"/>
  <c r="D121" i="1"/>
  <c r="C122" i="1"/>
  <c r="E119" i="2" l="1"/>
  <c r="F118" i="2"/>
  <c r="C121" i="2"/>
  <c r="D120" i="2"/>
  <c r="D122" i="1"/>
  <c r="C123" i="1"/>
  <c r="E120" i="2" l="1"/>
  <c r="F119" i="2"/>
  <c r="C122" i="2"/>
  <c r="D121" i="2"/>
  <c r="C124" i="1"/>
  <c r="D123" i="1"/>
  <c r="E121" i="2" l="1"/>
  <c r="F120" i="2"/>
  <c r="C123" i="2"/>
  <c r="D122" i="2"/>
  <c r="C125" i="1"/>
  <c r="D124" i="1"/>
  <c r="E122" i="2" l="1"/>
  <c r="F121" i="2"/>
  <c r="C124" i="2"/>
  <c r="D123" i="2"/>
  <c r="D125" i="1"/>
  <c r="C126" i="1"/>
  <c r="E123" i="2" l="1"/>
  <c r="F122" i="2"/>
  <c r="C125" i="2"/>
  <c r="D124" i="2"/>
  <c r="D126" i="1"/>
  <c r="C127" i="1"/>
  <c r="E124" i="2" l="1"/>
  <c r="F123" i="2"/>
  <c r="C126" i="2"/>
  <c r="D125" i="2"/>
  <c r="C128" i="1"/>
  <c r="D127" i="1"/>
  <c r="E125" i="2" l="1"/>
  <c r="F124" i="2"/>
  <c r="C127" i="2"/>
  <c r="D126" i="2"/>
  <c r="C129" i="1"/>
  <c r="D128" i="1"/>
  <c r="E126" i="2" l="1"/>
  <c r="F125" i="2"/>
  <c r="C128" i="2"/>
  <c r="D127" i="2"/>
  <c r="D129" i="1"/>
  <c r="C130" i="1"/>
  <c r="E127" i="2" l="1"/>
  <c r="F126" i="2"/>
  <c r="C129" i="2"/>
  <c r="D128" i="2"/>
  <c r="D130" i="1"/>
  <c r="C131" i="1"/>
  <c r="E128" i="2" l="1"/>
  <c r="F127" i="2"/>
  <c r="C130" i="2"/>
  <c r="D129" i="2"/>
  <c r="C132" i="1"/>
  <c r="D131" i="1"/>
  <c r="E129" i="2" l="1"/>
  <c r="F128" i="2"/>
  <c r="C131" i="2"/>
  <c r="D130" i="2"/>
  <c r="C133" i="1"/>
  <c r="D132" i="1"/>
  <c r="E130" i="2" l="1"/>
  <c r="F129" i="2"/>
  <c r="C132" i="2"/>
  <c r="D131" i="2"/>
  <c r="D133" i="1"/>
  <c r="C134" i="1"/>
  <c r="E131" i="2" l="1"/>
  <c r="F130" i="2"/>
  <c r="C133" i="2"/>
  <c r="D132" i="2"/>
  <c r="D134" i="1"/>
  <c r="C135" i="1"/>
  <c r="E132" i="2" l="1"/>
  <c r="F131" i="2"/>
  <c r="C134" i="2"/>
  <c r="D133" i="2"/>
  <c r="C136" i="1"/>
  <c r="D135" i="1"/>
  <c r="E133" i="2" l="1"/>
  <c r="F132" i="2"/>
  <c r="C135" i="2"/>
  <c r="D134" i="2"/>
  <c r="C137" i="1"/>
  <c r="D136" i="1"/>
  <c r="E134" i="2" l="1"/>
  <c r="F133" i="2"/>
  <c r="C136" i="2"/>
  <c r="D135" i="2"/>
  <c r="D137" i="1"/>
  <c r="C138" i="1"/>
  <c r="E135" i="2" l="1"/>
  <c r="F134" i="2"/>
  <c r="C137" i="2"/>
  <c r="D136" i="2"/>
  <c r="D138" i="1"/>
  <c r="C139" i="1"/>
  <c r="E136" i="2" l="1"/>
  <c r="F135" i="2"/>
  <c r="C138" i="2"/>
  <c r="D137" i="2"/>
  <c r="C140" i="1"/>
  <c r="D139" i="1"/>
  <c r="E137" i="2" l="1"/>
  <c r="F136" i="2"/>
  <c r="C139" i="2"/>
  <c r="D138" i="2"/>
  <c r="C141" i="1"/>
  <c r="D140" i="1"/>
  <c r="E138" i="2" l="1"/>
  <c r="F137" i="2"/>
  <c r="C140" i="2"/>
  <c r="D139" i="2"/>
  <c r="C142" i="1"/>
  <c r="D141" i="1"/>
  <c r="E139" i="2" l="1"/>
  <c r="F138" i="2"/>
  <c r="C141" i="2"/>
  <c r="D140" i="2"/>
  <c r="D142" i="1"/>
  <c r="C143" i="1"/>
  <c r="E140" i="2" l="1"/>
  <c r="F139" i="2"/>
  <c r="C142" i="2"/>
  <c r="D141" i="2"/>
  <c r="C144" i="1"/>
  <c r="D143" i="1"/>
  <c r="E141" i="2" l="1"/>
  <c r="F140" i="2"/>
  <c r="C143" i="2"/>
  <c r="D142" i="2"/>
  <c r="C145" i="1"/>
  <c r="D144" i="1"/>
  <c r="E142" i="2" l="1"/>
  <c r="F141" i="2"/>
  <c r="C144" i="2"/>
  <c r="D143" i="2"/>
  <c r="C146" i="1"/>
  <c r="D145" i="1"/>
  <c r="E143" i="2" l="1"/>
  <c r="F142" i="2"/>
  <c r="C145" i="2"/>
  <c r="D144" i="2"/>
  <c r="D146" i="1"/>
  <c r="C147" i="1"/>
  <c r="E144" i="2" l="1"/>
  <c r="F143" i="2"/>
  <c r="C146" i="2"/>
  <c r="D145" i="2"/>
  <c r="C148" i="1"/>
  <c r="D147" i="1"/>
  <c r="E145" i="2" l="1"/>
  <c r="F144" i="2"/>
  <c r="C147" i="2"/>
  <c r="D146" i="2"/>
  <c r="C149" i="1"/>
  <c r="D148" i="1"/>
  <c r="E146" i="2" l="1"/>
  <c r="F145" i="2"/>
  <c r="C148" i="2"/>
  <c r="D147" i="2"/>
  <c r="D149" i="1"/>
  <c r="C150" i="1"/>
  <c r="E147" i="2" l="1"/>
  <c r="F146" i="2"/>
  <c r="C149" i="2"/>
  <c r="D148" i="2"/>
  <c r="D150" i="1"/>
  <c r="C151" i="1"/>
  <c r="E148" i="2" l="1"/>
  <c r="F147" i="2"/>
  <c r="C150" i="2"/>
  <c r="D149" i="2"/>
  <c r="C152" i="1"/>
  <c r="D151" i="1"/>
  <c r="E149" i="2" l="1"/>
  <c r="F148" i="2"/>
  <c r="C151" i="2"/>
  <c r="D150" i="2"/>
  <c r="C153" i="1"/>
  <c r="D152" i="1"/>
  <c r="E150" i="2" l="1"/>
  <c r="F149" i="2"/>
  <c r="C152" i="2"/>
  <c r="D151" i="2"/>
  <c r="D153" i="1"/>
  <c r="C154" i="1"/>
  <c r="E151" i="2" l="1"/>
  <c r="F150" i="2"/>
  <c r="C153" i="2"/>
  <c r="D152" i="2"/>
  <c r="D154" i="1"/>
  <c r="C155" i="1"/>
  <c r="E152" i="2" l="1"/>
  <c r="F151" i="2"/>
  <c r="C154" i="2"/>
  <c r="D153" i="2"/>
  <c r="C156" i="1"/>
  <c r="D155" i="1"/>
  <c r="E153" i="2" l="1"/>
  <c r="F152" i="2"/>
  <c r="C155" i="2"/>
  <c r="D154" i="2"/>
  <c r="C157" i="1"/>
  <c r="D157" i="1" s="1"/>
  <c r="D156" i="1"/>
  <c r="E154" i="2" l="1"/>
  <c r="F153" i="2"/>
  <c r="C156" i="2"/>
  <c r="D155" i="2"/>
  <c r="E155" i="2" l="1"/>
  <c r="F154" i="2"/>
  <c r="C157" i="2"/>
  <c r="D156" i="2"/>
  <c r="E156" i="2" l="1"/>
  <c r="F155" i="2"/>
  <c r="C158" i="2"/>
  <c r="D157" i="2"/>
  <c r="E157" i="2" l="1"/>
  <c r="F156" i="2"/>
  <c r="C159" i="2"/>
  <c r="D158" i="2"/>
  <c r="E158" i="2" l="1"/>
  <c r="F157" i="2"/>
  <c r="C160" i="2"/>
  <c r="D159" i="2"/>
  <c r="E159" i="2" l="1"/>
  <c r="F158" i="2"/>
  <c r="C161" i="2"/>
  <c r="D160" i="2"/>
  <c r="E160" i="2" l="1"/>
  <c r="F159" i="2"/>
  <c r="C162" i="2"/>
  <c r="D161" i="2"/>
  <c r="E161" i="2" l="1"/>
  <c r="F160" i="2"/>
  <c r="C163" i="2"/>
  <c r="D162" i="2"/>
  <c r="E162" i="2" l="1"/>
  <c r="F161" i="2"/>
  <c r="C164" i="2"/>
  <c r="D163" i="2"/>
  <c r="E163" i="2" l="1"/>
  <c r="F162" i="2"/>
  <c r="C165" i="2"/>
  <c r="D164" i="2"/>
  <c r="E164" i="2" l="1"/>
  <c r="F163" i="2"/>
  <c r="C166" i="2"/>
  <c r="D165" i="2"/>
  <c r="E165" i="2" l="1"/>
  <c r="F164" i="2"/>
  <c r="C167" i="2"/>
  <c r="D166" i="2"/>
  <c r="E166" i="2" l="1"/>
  <c r="F165" i="2"/>
  <c r="C168" i="2"/>
  <c r="D167" i="2"/>
  <c r="E167" i="2" l="1"/>
  <c r="F166" i="2"/>
  <c r="C169" i="2"/>
  <c r="D168" i="2"/>
  <c r="E168" i="2" l="1"/>
  <c r="F167" i="2"/>
  <c r="C170" i="2"/>
  <c r="D169" i="2"/>
  <c r="E169" i="2" l="1"/>
  <c r="F168" i="2"/>
  <c r="C171" i="2"/>
  <c r="D170" i="2"/>
  <c r="E170" i="2" l="1"/>
  <c r="F169" i="2"/>
  <c r="C172" i="2"/>
  <c r="D171" i="2"/>
  <c r="E171" i="2" l="1"/>
  <c r="F170" i="2"/>
  <c r="C173" i="2"/>
  <c r="D172" i="2"/>
  <c r="E172" i="2" l="1"/>
  <c r="F171" i="2"/>
  <c r="C174" i="2"/>
  <c r="D173" i="2"/>
  <c r="E173" i="2" l="1"/>
  <c r="F172" i="2"/>
  <c r="C175" i="2"/>
  <c r="D174" i="2"/>
  <c r="E174" i="2" l="1"/>
  <c r="F173" i="2"/>
  <c r="C176" i="2"/>
  <c r="D175" i="2"/>
  <c r="E175" i="2" l="1"/>
  <c r="F174" i="2"/>
  <c r="C177" i="2"/>
  <c r="D176" i="2"/>
  <c r="E176" i="2" l="1"/>
  <c r="F175" i="2"/>
  <c r="C178" i="2"/>
  <c r="D177" i="2"/>
  <c r="E177" i="2" l="1"/>
  <c r="F176" i="2"/>
  <c r="C179" i="2"/>
  <c r="D178" i="2"/>
  <c r="E178" i="2" l="1"/>
  <c r="F177" i="2"/>
  <c r="C180" i="2"/>
  <c r="D179" i="2"/>
  <c r="E179" i="2" l="1"/>
  <c r="F178" i="2"/>
  <c r="C181" i="2"/>
  <c r="D180" i="2"/>
  <c r="E180" i="2" l="1"/>
  <c r="F179" i="2"/>
  <c r="C182" i="2"/>
  <c r="D181" i="2"/>
  <c r="E181" i="2" l="1"/>
  <c r="F180" i="2"/>
  <c r="C183" i="2"/>
  <c r="D182" i="2"/>
  <c r="E182" i="2" l="1"/>
  <c r="F181" i="2"/>
  <c r="C184" i="2"/>
  <c r="D183" i="2"/>
  <c r="E183" i="2" l="1"/>
  <c r="F182" i="2"/>
  <c r="C185" i="2"/>
  <c r="D184" i="2"/>
  <c r="E184" i="2" l="1"/>
  <c r="F183" i="2"/>
  <c r="C186" i="2"/>
  <c r="D185" i="2"/>
  <c r="E185" i="2" l="1"/>
  <c r="F184" i="2"/>
  <c r="C187" i="2"/>
  <c r="D186" i="2"/>
  <c r="E186" i="2" l="1"/>
  <c r="F185" i="2"/>
  <c r="C188" i="2"/>
  <c r="D187" i="2"/>
  <c r="E187" i="2" l="1"/>
  <c r="F186" i="2"/>
  <c r="C189" i="2"/>
  <c r="D188" i="2"/>
  <c r="E188" i="2" l="1"/>
  <c r="F187" i="2"/>
  <c r="C190" i="2"/>
  <c r="D189" i="2"/>
  <c r="E189" i="2" l="1"/>
  <c r="F188" i="2"/>
  <c r="C191" i="2"/>
  <c r="D190" i="2"/>
  <c r="E190" i="2" l="1"/>
  <c r="F189" i="2"/>
  <c r="C192" i="2"/>
  <c r="D191" i="2"/>
  <c r="E191" i="2" l="1"/>
  <c r="F190" i="2"/>
  <c r="C193" i="2"/>
  <c r="D192" i="2"/>
  <c r="E192" i="2" l="1"/>
  <c r="F191" i="2"/>
  <c r="C194" i="2"/>
  <c r="D193" i="2"/>
  <c r="E193" i="2" l="1"/>
  <c r="F192" i="2"/>
  <c r="C195" i="2"/>
  <c r="D194" i="2"/>
  <c r="E194" i="2" l="1"/>
  <c r="F193" i="2"/>
  <c r="C196" i="2"/>
  <c r="D195" i="2"/>
  <c r="E195" i="2" l="1"/>
  <c r="F194" i="2"/>
  <c r="C197" i="2"/>
  <c r="D196" i="2"/>
  <c r="E196" i="2" l="1"/>
  <c r="F195" i="2"/>
  <c r="C198" i="2"/>
  <c r="D197" i="2"/>
  <c r="E197" i="2" l="1"/>
  <c r="F196" i="2"/>
  <c r="C199" i="2"/>
  <c r="D198" i="2"/>
  <c r="E198" i="2" l="1"/>
  <c r="F197" i="2"/>
  <c r="C200" i="2"/>
  <c r="D199" i="2"/>
  <c r="E199" i="2" l="1"/>
  <c r="F198" i="2"/>
  <c r="C201" i="2"/>
  <c r="D200" i="2"/>
  <c r="E200" i="2" l="1"/>
  <c r="F199" i="2"/>
  <c r="C202" i="2"/>
  <c r="D202" i="2" s="1"/>
  <c r="D201" i="2"/>
  <c r="F201" i="2" l="1"/>
  <c r="E201" i="2"/>
  <c r="F200" i="2"/>
  <c r="F202" i="2"/>
  <c r="E20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<sst xmlns="http://schemas.openxmlformats.org/spreadsheetml/2006/main" count="45" uniqueCount="25">
  <si>
    <t>h</t>
  </si>
  <si>
    <t>y</t>
  </si>
  <si>
    <t>phương pháp hàm ngược</t>
  </si>
  <si>
    <t>tìm khoảng cách ly và khoảng đơn điệu+ ns Newton mốc bất kỳ</t>
  </si>
  <si>
    <t>TSP</t>
  </si>
  <si>
    <t>TSP1</t>
  </si>
  <si>
    <t>TSP2</t>
  </si>
  <si>
    <t>TSP3</t>
  </si>
  <si>
    <t>TSP4</t>
  </si>
  <si>
    <t>TSP5</t>
  </si>
  <si>
    <t>P(y)</t>
  </si>
  <si>
    <t>phương pháp lặp + ns Newton tiến</t>
  </si>
  <si>
    <t>t_0</t>
  </si>
  <si>
    <t>t_1</t>
  </si>
  <si>
    <t>pp lặp + nội suy Newton lùi</t>
  </si>
  <si>
    <t>pp hàm ngược</t>
  </si>
  <si>
    <t>pp lặp từ ns Newton tiến</t>
  </si>
  <si>
    <t>pp lặp từ ns Newton lùi</t>
  </si>
  <si>
    <t>TSP6</t>
  </si>
  <si>
    <t>SP1</t>
  </si>
  <si>
    <t>SP2</t>
  </si>
  <si>
    <t>SP3</t>
  </si>
  <si>
    <t>SP4</t>
  </si>
  <si>
    <t>SP5</t>
  </si>
  <si>
    <t>SP6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</si>
</sst>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/>
    <xf numFmtId="0" fontId="7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6" fillId="0" borderId="14" xfId="0" applyFont="1" applyBorder="1"/>
    <xf numFmtId="0" fontId="8" fillId="0" borderId="0" xfId="0" applyFont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2" xfId="0" applyFont="1" applyBorder="1"/>
    <xf numFmtId="0" fontId="9" fillId="2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1F53-0B26-489C-9755-9DD1D1C54464}">
  <dimension ref="B1:AA157"/>
  <sheetViews>
    <sheetView topLeftCell="E34" zoomScale="149" zoomScaleNormal="190" workbookViewId="0">
      <selection activeCell="N47" sqref="N47"/>
    </sheetView>
  </sheetViews>
  <sheetFormatPr defaultRowHeight="14.5" x14ac:dyDescent="0.35"/>
  <cols>
    <col min="10" max="10" width="12.7265625" bestFit="1" customWidth="1"/>
    <col min="11" max="11" width="12" bestFit="1" customWidth="1"/>
    <col min="12" max="12" width="12.7265625" bestFit="1" customWidth="1"/>
    <col min="13" max="13" width="13.453125" bestFit="1" customWidth="1"/>
    <col min="14" max="14" width="12.7265625" bestFit="1" customWidth="1"/>
    <col min="15" max="15" width="12.1796875" bestFit="1" customWidth="1"/>
    <col min="16" max="16" width="12.81640625" bestFit="1" customWidth="1"/>
    <col min="18" max="18" width="9" bestFit="1" customWidth="1"/>
    <col min="19" max="19" width="9.1796875" bestFit="1" customWidth="1"/>
    <col min="20" max="20" width="13.26953125" bestFit="1" customWidth="1"/>
    <col min="21" max="21" width="13.7265625" bestFit="1" customWidth="1"/>
    <col min="22" max="22" width="13.26953125" bestFit="1" customWidth="1"/>
    <col min="23" max="24" width="12.81640625" bestFit="1" customWidth="1"/>
    <col min="25" max="26" width="9.1796875" bestFit="1" customWidth="1"/>
    <col min="27" max="27" width="12.81640625" bestFit="1" customWidth="1"/>
  </cols>
  <sheetData>
    <row r="1" spans="2:23" ht="15" thickBot="1" x14ac:dyDescent="0.4">
      <c r="B1" t="s">
        <v>0</v>
      </c>
      <c r="C1">
        <v>0.125</v>
      </c>
      <c r="E1" t="s">
        <v>1</v>
      </c>
      <c r="F1">
        <f>-2</f>
        <v>-2</v>
      </c>
    </row>
    <row r="2" spans="2:23" x14ac:dyDescent="0.35">
      <c r="B2">
        <v>0</v>
      </c>
      <c r="C2">
        <v>1</v>
      </c>
      <c r="D2">
        <f>ROUND(2*SIN(C2)-3*COS(C2),4)</f>
        <v>6.2E-2</v>
      </c>
      <c r="E2" t="str">
        <f>IF((D2-$F$1)*(D3-$F$1)&lt;0,1,"")</f>
        <v/>
      </c>
      <c r="F2" s="22"/>
      <c r="U2" s="2"/>
      <c r="V2" s="3"/>
      <c r="W2" s="4"/>
    </row>
    <row r="3" spans="2:23" x14ac:dyDescent="0.35">
      <c r="B3">
        <v>1</v>
      </c>
      <c r="C3">
        <f>ROUND(C2+$C$1,4)</f>
        <v>1.125</v>
      </c>
      <c r="D3">
        <f t="shared" ref="D3:D66" si="0">ROUND(2*SIN(C3)-3*COS(C3),4)</f>
        <v>0.51100000000000001</v>
      </c>
      <c r="E3" t="str">
        <f t="shared" ref="E3:E66" si="1">IF((D3-$F$1)*(D4-$F$1)&lt;0,1,"")</f>
        <v/>
      </c>
      <c r="F3" s="23">
        <f>IF(D3-D2&gt;0,1,IF(D3-D2&lt;0,-1,0))</f>
        <v>1</v>
      </c>
      <c r="U3" s="5"/>
      <c r="W3" s="6"/>
    </row>
    <row r="4" spans="2:23" ht="15" thickBot="1" x14ac:dyDescent="0.4">
      <c r="B4">
        <v>2</v>
      </c>
      <c r="C4">
        <f t="shared" ref="C4:C67" si="2">ROUND(C3+$C$1,4)</f>
        <v>1.25</v>
      </c>
      <c r="D4">
        <f t="shared" si="0"/>
        <v>0.95199999999999996</v>
      </c>
      <c r="E4" t="str">
        <f t="shared" si="1"/>
        <v/>
      </c>
      <c r="F4" s="23">
        <f t="shared" ref="F4:F67" si="3">IF(D4-D3&gt;0,1,IF(D4-D3&lt;0,-1,0))</f>
        <v>1</v>
      </c>
      <c r="U4" s="7"/>
      <c r="V4" s="8"/>
      <c r="W4" s="9"/>
    </row>
    <row r="5" spans="2:23" x14ac:dyDescent="0.35">
      <c r="B5">
        <v>3</v>
      </c>
      <c r="C5">
        <f t="shared" si="2"/>
        <v>1.375</v>
      </c>
      <c r="D5">
        <f t="shared" si="0"/>
        <v>1.3781000000000001</v>
      </c>
      <c r="E5" t="str">
        <f t="shared" si="1"/>
        <v/>
      </c>
      <c r="F5" s="23">
        <f t="shared" si="3"/>
        <v>1</v>
      </c>
      <c r="I5" s="10"/>
      <c r="J5" s="15"/>
      <c r="K5" s="16"/>
    </row>
    <row r="6" spans="2:23" ht="15" thickBot="1" x14ac:dyDescent="0.4">
      <c r="B6">
        <v>4</v>
      </c>
      <c r="C6">
        <f t="shared" si="2"/>
        <v>1.5</v>
      </c>
      <c r="D6">
        <f t="shared" si="0"/>
        <v>1.7827999999999999</v>
      </c>
      <c r="E6" t="str">
        <f t="shared" si="1"/>
        <v/>
      </c>
      <c r="F6" s="23">
        <f t="shared" si="3"/>
        <v>1</v>
      </c>
      <c r="K6" s="15"/>
      <c r="L6" s="15"/>
      <c r="M6" s="16"/>
    </row>
    <row r="7" spans="2:23" ht="15" thickBot="1" x14ac:dyDescent="0.4">
      <c r="B7">
        <v>5</v>
      </c>
      <c r="C7">
        <f t="shared" si="2"/>
        <v>1.625</v>
      </c>
      <c r="D7">
        <f t="shared" si="0"/>
        <v>2.1596000000000002</v>
      </c>
      <c r="E7" t="str">
        <f t="shared" si="1"/>
        <v/>
      </c>
      <c r="F7" s="23">
        <f t="shared" si="3"/>
        <v>1</v>
      </c>
      <c r="M7" s="15"/>
      <c r="N7" s="15"/>
      <c r="O7" s="16"/>
      <c r="T7" s="11"/>
      <c r="U7" s="12"/>
      <c r="V7" s="13"/>
    </row>
    <row r="8" spans="2:23" x14ac:dyDescent="0.35">
      <c r="B8">
        <v>6</v>
      </c>
      <c r="C8">
        <f t="shared" si="2"/>
        <v>1.75</v>
      </c>
      <c r="D8">
        <f t="shared" si="0"/>
        <v>2.5026999999999999</v>
      </c>
      <c r="E8" t="str">
        <f t="shared" si="1"/>
        <v/>
      </c>
      <c r="F8" s="23">
        <f t="shared" si="3"/>
        <v>1</v>
      </c>
      <c r="O8" s="15"/>
      <c r="P8" s="15"/>
    </row>
    <row r="9" spans="2:23" ht="15" thickBot="1" x14ac:dyDescent="0.4">
      <c r="B9">
        <v>7</v>
      </c>
      <c r="C9">
        <f t="shared" si="2"/>
        <v>1.875</v>
      </c>
      <c r="D9">
        <f t="shared" si="0"/>
        <v>2.8068</v>
      </c>
      <c r="E9" t="str">
        <f t="shared" si="1"/>
        <v/>
      </c>
      <c r="F9" s="23">
        <f t="shared" si="3"/>
        <v>1</v>
      </c>
    </row>
    <row r="10" spans="2:23" ht="15" thickBot="1" x14ac:dyDescent="0.4">
      <c r="B10">
        <v>8</v>
      </c>
      <c r="C10">
        <f t="shared" si="2"/>
        <v>2</v>
      </c>
      <c r="D10">
        <f t="shared" si="0"/>
        <v>3.0670000000000002</v>
      </c>
      <c r="E10" t="str">
        <f t="shared" si="1"/>
        <v/>
      </c>
      <c r="F10" s="23">
        <f t="shared" si="3"/>
        <v>1</v>
      </c>
      <c r="T10" s="11"/>
      <c r="U10" s="12"/>
      <c r="V10" s="13"/>
    </row>
    <row r="11" spans="2:23" x14ac:dyDescent="0.35">
      <c r="B11">
        <v>9</v>
      </c>
      <c r="C11">
        <f t="shared" si="2"/>
        <v>2.125</v>
      </c>
      <c r="D11">
        <f t="shared" si="0"/>
        <v>3.2793999999999999</v>
      </c>
      <c r="E11" t="str">
        <f t="shared" si="1"/>
        <v/>
      </c>
      <c r="F11" s="23">
        <f t="shared" si="3"/>
        <v>1</v>
      </c>
    </row>
    <row r="12" spans="2:23" x14ac:dyDescent="0.35">
      <c r="B12">
        <v>10</v>
      </c>
      <c r="C12">
        <f t="shared" si="2"/>
        <v>2.25</v>
      </c>
      <c r="D12">
        <f t="shared" si="0"/>
        <v>3.4407000000000001</v>
      </c>
      <c r="E12" t="str">
        <f t="shared" si="1"/>
        <v/>
      </c>
      <c r="F12" s="23">
        <f t="shared" si="3"/>
        <v>1</v>
      </c>
      <c r="J12" s="1"/>
      <c r="K12" s="1"/>
      <c r="L12" s="1"/>
      <c r="M12" s="1"/>
      <c r="N12" s="1"/>
      <c r="O12" s="1"/>
      <c r="P12" s="1"/>
      <c r="T12" s="10"/>
      <c r="U12" s="10"/>
      <c r="V12" s="10"/>
      <c r="W12" s="10"/>
    </row>
    <row r="13" spans="2:23" ht="15" thickBot="1" x14ac:dyDescent="0.4">
      <c r="B13">
        <v>11</v>
      </c>
      <c r="C13">
        <f t="shared" si="2"/>
        <v>2.375</v>
      </c>
      <c r="D13">
        <f t="shared" si="0"/>
        <v>3.5482</v>
      </c>
      <c r="E13" t="str">
        <f t="shared" si="1"/>
        <v/>
      </c>
      <c r="F13" s="23">
        <f t="shared" si="3"/>
        <v>1</v>
      </c>
    </row>
    <row r="14" spans="2:23" ht="15" thickBot="1" x14ac:dyDescent="0.4">
      <c r="B14">
        <v>12</v>
      </c>
      <c r="C14">
        <f t="shared" si="2"/>
        <v>2.5</v>
      </c>
      <c r="D14">
        <f t="shared" si="0"/>
        <v>3.6004</v>
      </c>
      <c r="E14" t="str">
        <f t="shared" si="1"/>
        <v/>
      </c>
      <c r="F14" s="25">
        <f t="shared" si="3"/>
        <v>1</v>
      </c>
      <c r="T14" s="10"/>
      <c r="U14" s="10"/>
      <c r="V14" s="10"/>
    </row>
    <row r="15" spans="2:23" x14ac:dyDescent="0.35">
      <c r="B15">
        <v>13</v>
      </c>
      <c r="C15">
        <f t="shared" si="2"/>
        <v>2.625</v>
      </c>
      <c r="D15">
        <f t="shared" si="0"/>
        <v>3.5964</v>
      </c>
      <c r="E15" t="str">
        <f t="shared" si="1"/>
        <v/>
      </c>
      <c r="F15" s="23">
        <f t="shared" si="3"/>
        <v>-1</v>
      </c>
    </row>
    <row r="16" spans="2:23" x14ac:dyDescent="0.35">
      <c r="B16">
        <v>14</v>
      </c>
      <c r="C16">
        <f t="shared" si="2"/>
        <v>2.75</v>
      </c>
      <c r="D16">
        <f t="shared" si="0"/>
        <v>3.5362</v>
      </c>
      <c r="E16" t="str">
        <f t="shared" si="1"/>
        <v/>
      </c>
      <c r="F16" s="23">
        <f t="shared" si="3"/>
        <v>-1</v>
      </c>
    </row>
    <row r="17" spans="2:27" x14ac:dyDescent="0.35">
      <c r="B17">
        <v>15</v>
      </c>
      <c r="C17">
        <f t="shared" si="2"/>
        <v>2.875</v>
      </c>
      <c r="D17">
        <f t="shared" si="0"/>
        <v>3.4209000000000001</v>
      </c>
      <c r="E17" t="str">
        <f t="shared" si="1"/>
        <v/>
      </c>
      <c r="F17" s="23">
        <f t="shared" si="3"/>
        <v>-1</v>
      </c>
    </row>
    <row r="18" spans="2:27" x14ac:dyDescent="0.35">
      <c r="B18">
        <v>16</v>
      </c>
      <c r="C18">
        <f t="shared" si="2"/>
        <v>3</v>
      </c>
      <c r="D18">
        <f t="shared" si="0"/>
        <v>3.2522000000000002</v>
      </c>
      <c r="E18" t="str">
        <f t="shared" si="1"/>
        <v/>
      </c>
      <c r="F18" s="23">
        <f t="shared" si="3"/>
        <v>-1</v>
      </c>
    </row>
    <row r="19" spans="2:27" x14ac:dyDescent="0.35">
      <c r="B19">
        <v>17</v>
      </c>
      <c r="C19">
        <f t="shared" si="2"/>
        <v>3.125</v>
      </c>
      <c r="D19">
        <f t="shared" si="0"/>
        <v>3.0327999999999999</v>
      </c>
      <c r="E19" t="str">
        <f t="shared" si="1"/>
        <v/>
      </c>
      <c r="F19" s="23">
        <f t="shared" si="3"/>
        <v>-1</v>
      </c>
    </row>
    <row r="20" spans="2:27" x14ac:dyDescent="0.35">
      <c r="B20">
        <v>18</v>
      </c>
      <c r="C20">
        <f t="shared" si="2"/>
        <v>3.25</v>
      </c>
      <c r="D20">
        <f t="shared" si="0"/>
        <v>2.766</v>
      </c>
      <c r="E20" t="str">
        <f t="shared" si="1"/>
        <v/>
      </c>
      <c r="F20" s="23">
        <f t="shared" si="3"/>
        <v>-1</v>
      </c>
    </row>
    <row r="21" spans="2:27" x14ac:dyDescent="0.35">
      <c r="B21">
        <v>19</v>
      </c>
      <c r="C21">
        <f t="shared" si="2"/>
        <v>3.375</v>
      </c>
      <c r="D21">
        <f t="shared" si="0"/>
        <v>2.4561000000000002</v>
      </c>
      <c r="E21" t="str">
        <f t="shared" si="1"/>
        <v/>
      </c>
      <c r="F21" s="23">
        <f t="shared" si="3"/>
        <v>-1</v>
      </c>
    </row>
    <row r="22" spans="2:27" x14ac:dyDescent="0.35">
      <c r="B22">
        <v>20</v>
      </c>
      <c r="C22">
        <f t="shared" si="2"/>
        <v>3.5</v>
      </c>
      <c r="D22">
        <f t="shared" si="0"/>
        <v>2.1078000000000001</v>
      </c>
      <c r="E22" t="str">
        <f t="shared" si="1"/>
        <v/>
      </c>
      <c r="F22" s="23">
        <f t="shared" si="3"/>
        <v>-1</v>
      </c>
      <c r="J22" s="10"/>
      <c r="K22" s="10"/>
      <c r="L22" s="10"/>
      <c r="M22" s="10"/>
      <c r="N22" s="10"/>
      <c r="O22" s="10"/>
      <c r="P22" s="10"/>
      <c r="S22" s="10"/>
      <c r="T22" s="20"/>
      <c r="U22" s="14"/>
    </row>
    <row r="23" spans="2:27" x14ac:dyDescent="0.35">
      <c r="B23">
        <v>21</v>
      </c>
      <c r="C23">
        <f t="shared" si="2"/>
        <v>3.625</v>
      </c>
      <c r="D23">
        <f t="shared" si="0"/>
        <v>1.7266999999999999</v>
      </c>
      <c r="E23" t="str">
        <f t="shared" si="1"/>
        <v/>
      </c>
      <c r="F23" s="23">
        <f t="shared" si="3"/>
        <v>-1</v>
      </c>
      <c r="P23" s="10"/>
      <c r="S23" s="10"/>
      <c r="T23" s="20"/>
      <c r="U23" s="21"/>
      <c r="V23" s="20"/>
      <c r="W23" s="14"/>
    </row>
    <row r="24" spans="2:27" x14ac:dyDescent="0.35">
      <c r="B24">
        <v>22</v>
      </c>
      <c r="C24">
        <f t="shared" si="2"/>
        <v>3.75</v>
      </c>
      <c r="D24">
        <f t="shared" si="0"/>
        <v>1.3186</v>
      </c>
      <c r="E24" t="str">
        <f t="shared" si="1"/>
        <v/>
      </c>
      <c r="F24" s="23">
        <f t="shared" si="3"/>
        <v>-1</v>
      </c>
      <c r="P24" s="10"/>
      <c r="V24" s="20"/>
      <c r="W24" s="21"/>
      <c r="X24" s="20"/>
      <c r="Y24" s="14"/>
    </row>
    <row r="25" spans="2:27" x14ac:dyDescent="0.35">
      <c r="B25">
        <v>23</v>
      </c>
      <c r="C25">
        <f t="shared" si="2"/>
        <v>3.875</v>
      </c>
      <c r="D25">
        <f t="shared" si="0"/>
        <v>0.88990000000000002</v>
      </c>
      <c r="E25" t="str">
        <f t="shared" si="1"/>
        <v/>
      </c>
      <c r="F25" s="23">
        <f t="shared" si="3"/>
        <v>-1</v>
      </c>
      <c r="H25" t="s">
        <v>2</v>
      </c>
      <c r="K25" t="s">
        <v>3</v>
      </c>
      <c r="X25" s="20"/>
      <c r="Y25" s="21"/>
      <c r="Z25" s="20"/>
    </row>
    <row r="26" spans="2:27" x14ac:dyDescent="0.35">
      <c r="B26">
        <v>24</v>
      </c>
      <c r="C26">
        <f t="shared" si="2"/>
        <v>4</v>
      </c>
      <c r="D26">
        <f t="shared" si="0"/>
        <v>0.44729999999999998</v>
      </c>
      <c r="E26" t="str">
        <f t="shared" si="1"/>
        <v/>
      </c>
      <c r="F26" s="23">
        <f t="shared" si="3"/>
        <v>-1</v>
      </c>
      <c r="Z26" s="20"/>
      <c r="AA26" s="21"/>
    </row>
    <row r="27" spans="2:27" x14ac:dyDescent="0.35">
      <c r="B27">
        <v>25</v>
      </c>
      <c r="C27">
        <f t="shared" si="2"/>
        <v>4.125</v>
      </c>
      <c r="D27">
        <f t="shared" si="0"/>
        <v>-2.2000000000000001E-3</v>
      </c>
      <c r="E27" t="str">
        <f t="shared" si="1"/>
        <v/>
      </c>
      <c r="F27" s="23">
        <f t="shared" si="3"/>
        <v>-1</v>
      </c>
      <c r="H27" t="s">
        <v>4</v>
      </c>
    </row>
    <row r="28" spans="2:27" x14ac:dyDescent="0.35">
      <c r="B28">
        <v>26</v>
      </c>
      <c r="C28">
        <f t="shared" si="2"/>
        <v>4.25</v>
      </c>
      <c r="D28">
        <f t="shared" si="0"/>
        <v>-0.45169999999999999</v>
      </c>
      <c r="E28" t="str">
        <f t="shared" si="1"/>
        <v/>
      </c>
      <c r="F28" s="23">
        <f t="shared" si="3"/>
        <v>-1</v>
      </c>
      <c r="J28" t="s">
        <v>5</v>
      </c>
      <c r="K28" t="s">
        <v>6</v>
      </c>
      <c r="L28" t="s">
        <v>7</v>
      </c>
      <c r="M28" t="s">
        <v>8</v>
      </c>
      <c r="N28" t="s">
        <v>9</v>
      </c>
    </row>
    <row r="29" spans="2:27" x14ac:dyDescent="0.35">
      <c r="B29">
        <v>27</v>
      </c>
      <c r="C29">
        <f t="shared" si="2"/>
        <v>4.375</v>
      </c>
      <c r="D29">
        <f t="shared" si="0"/>
        <v>-0.89419999999999999</v>
      </c>
      <c r="E29" t="str">
        <f t="shared" si="1"/>
        <v/>
      </c>
      <c r="F29" s="23">
        <f t="shared" si="3"/>
        <v>-1</v>
      </c>
      <c r="H29" cm="1">
        <f t="array" ref="H29:H34">D29:D34</f>
        <v>-0.89419999999999999</v>
      </c>
      <c r="I29" s="1" cm="1">
        <f t="array" ref="I29:I34">C29:C34</f>
        <v>4.375</v>
      </c>
    </row>
    <row r="30" spans="2:27" ht="15" thickBot="1" x14ac:dyDescent="0.4">
      <c r="B30">
        <v>28</v>
      </c>
      <c r="C30">
        <f t="shared" si="2"/>
        <v>4.5</v>
      </c>
      <c r="D30">
        <f t="shared" si="0"/>
        <v>-1.3227</v>
      </c>
      <c r="E30" t="str">
        <f t="shared" si="1"/>
        <v/>
      </c>
      <c r="F30" s="23">
        <f t="shared" si="3"/>
        <v>-1</v>
      </c>
      <c r="H30">
        <v>-1.3227</v>
      </c>
      <c r="I30">
        <v>4.5</v>
      </c>
      <c r="J30" s="1">
        <f>(I30-I29)/(H30-H29)</f>
        <v>-0.29171528588098017</v>
      </c>
    </row>
    <row r="31" spans="2:27" ht="15" thickBot="1" x14ac:dyDescent="0.4">
      <c r="B31">
        <v>29</v>
      </c>
      <c r="C31" s="10">
        <f t="shared" si="2"/>
        <v>4.625</v>
      </c>
      <c r="D31" s="10">
        <f t="shared" si="0"/>
        <v>-1.7304999999999999</v>
      </c>
      <c r="E31" s="20">
        <f t="shared" si="1"/>
        <v>1</v>
      </c>
      <c r="F31" s="26">
        <f t="shared" si="3"/>
        <v>-1</v>
      </c>
      <c r="H31">
        <v>-1.7304999999999999</v>
      </c>
      <c r="I31">
        <v>4.625</v>
      </c>
      <c r="J31">
        <f t="shared" ref="J31:J34" si="4">(I31-I30)/(H31-H30)</f>
        <v>-0.30652280529671411</v>
      </c>
      <c r="K31" s="1">
        <f>(J31-J30)/(H31-H29)</f>
        <v>1.7705989974571255E-2</v>
      </c>
      <c r="T31" s="17"/>
      <c r="U31" s="18"/>
      <c r="V31" s="18"/>
      <c r="W31" s="19"/>
    </row>
    <row r="32" spans="2:27" x14ac:dyDescent="0.35">
      <c r="B32">
        <v>30</v>
      </c>
      <c r="C32" s="10">
        <f t="shared" si="2"/>
        <v>4.75</v>
      </c>
      <c r="D32" s="10">
        <f t="shared" si="0"/>
        <v>-2.1114000000000002</v>
      </c>
      <c r="E32" t="str">
        <f t="shared" si="1"/>
        <v/>
      </c>
      <c r="F32" s="23">
        <f t="shared" si="3"/>
        <v>-1</v>
      </c>
      <c r="H32">
        <v>-2.1114000000000002</v>
      </c>
      <c r="I32">
        <v>4.75</v>
      </c>
      <c r="J32">
        <f t="shared" si="4"/>
        <v>-0.32817012339196622</v>
      </c>
      <c r="K32">
        <f t="shared" ref="K32:K34" si="5">(J32-J31)/(H32-H30)</f>
        <v>2.7446834151454425E-2</v>
      </c>
      <c r="L32" s="1">
        <f>(K32-K31)/(H32-H29)</f>
        <v>-8.0026652784120685E-3</v>
      </c>
    </row>
    <row r="33" spans="2:27" x14ac:dyDescent="0.35">
      <c r="B33">
        <v>31</v>
      </c>
      <c r="C33">
        <f t="shared" si="2"/>
        <v>4.875</v>
      </c>
      <c r="D33">
        <f t="shared" si="0"/>
        <v>-2.4592999999999998</v>
      </c>
      <c r="E33" t="str">
        <f t="shared" si="1"/>
        <v/>
      </c>
      <c r="F33" s="23">
        <f t="shared" si="3"/>
        <v>-1</v>
      </c>
      <c r="H33">
        <v>-2.4592999999999998</v>
      </c>
      <c r="I33">
        <v>4.875</v>
      </c>
      <c r="J33">
        <f t="shared" si="4"/>
        <v>-0.35929864903707998</v>
      </c>
      <c r="K33">
        <f t="shared" si="5"/>
        <v>4.271202750427245E-2</v>
      </c>
      <c r="L33">
        <f t="shared" ref="L33:L34" si="6">(K33-K32)/(H33-H30)</f>
        <v>-1.3430576590549029E-2</v>
      </c>
      <c r="M33" s="1">
        <f>(L33-L32)/(H33-H29)</f>
        <v>3.4680923341236739E-3</v>
      </c>
    </row>
    <row r="34" spans="2:27" ht="15" thickBot="1" x14ac:dyDescent="0.4">
      <c r="B34">
        <v>32</v>
      </c>
      <c r="C34">
        <f t="shared" si="2"/>
        <v>5</v>
      </c>
      <c r="D34">
        <f t="shared" si="0"/>
        <v>-2.7688000000000001</v>
      </c>
      <c r="E34" t="str">
        <f t="shared" si="1"/>
        <v/>
      </c>
      <c r="F34" s="23">
        <f t="shared" si="3"/>
        <v>-1</v>
      </c>
      <c r="H34">
        <v>-2.7688000000000001</v>
      </c>
      <c r="I34">
        <v>5</v>
      </c>
      <c r="J34">
        <f t="shared" si="4"/>
        <v>-0.40387722132471687</v>
      </c>
      <c r="K34">
        <f t="shared" si="5"/>
        <v>6.7810423315541379E-2</v>
      </c>
      <c r="L34">
        <f t="shared" si="6"/>
        <v>-2.4172585776046349E-2</v>
      </c>
      <c r="M34">
        <f>(L34-L33)/(H34-H30)</f>
        <v>7.4282616592886508E-3</v>
      </c>
      <c r="N34" s="1">
        <f>(M34-M33)/(H34-H29)</f>
        <v>-2.1125409821641829E-3</v>
      </c>
    </row>
    <row r="35" spans="2:27" ht="15" thickBot="1" x14ac:dyDescent="0.4">
      <c r="B35">
        <v>33</v>
      </c>
      <c r="C35">
        <f t="shared" si="2"/>
        <v>5.125</v>
      </c>
      <c r="D35">
        <f t="shared" si="0"/>
        <v>-3.0352000000000001</v>
      </c>
      <c r="E35" t="str">
        <f t="shared" si="1"/>
        <v/>
      </c>
      <c r="F35" s="23">
        <f t="shared" si="3"/>
        <v>-1</v>
      </c>
      <c r="T35" s="17"/>
      <c r="U35" s="18"/>
      <c r="V35" s="18"/>
      <c r="W35" s="19"/>
    </row>
    <row r="36" spans="2:27" ht="15" thickBot="1" x14ac:dyDescent="0.4">
      <c r="B36">
        <v>34</v>
      </c>
      <c r="C36">
        <f t="shared" si="2"/>
        <v>5.25</v>
      </c>
      <c r="D36">
        <f t="shared" si="0"/>
        <v>-3.2541000000000002</v>
      </c>
      <c r="E36" t="str">
        <f t="shared" si="1"/>
        <v/>
      </c>
      <c r="F36" s="23">
        <f t="shared" si="3"/>
        <v>-1</v>
      </c>
      <c r="I36" s="17">
        <f>I29</f>
        <v>4.375</v>
      </c>
      <c r="J36" s="18">
        <f>J30</f>
        <v>-0.29171528588098017</v>
      </c>
      <c r="K36" s="18">
        <f>K31</f>
        <v>1.7705989974571255E-2</v>
      </c>
      <c r="L36" s="18">
        <f>L32</f>
        <v>-8.0026652784120685E-3</v>
      </c>
      <c r="M36" s="18">
        <f>M33</f>
        <v>3.4680923341236739E-3</v>
      </c>
      <c r="N36" s="19">
        <f>N34</f>
        <v>-2.1125409821641829E-3</v>
      </c>
    </row>
    <row r="37" spans="2:27" ht="15" thickBot="1" x14ac:dyDescent="0.4">
      <c r="B37">
        <v>35</v>
      </c>
      <c r="C37">
        <f t="shared" si="2"/>
        <v>5.375</v>
      </c>
      <c r="D37">
        <f t="shared" si="0"/>
        <v>-3.4222999999999999</v>
      </c>
      <c r="E37" t="str">
        <f t="shared" si="1"/>
        <v/>
      </c>
      <c r="F37" s="23">
        <f t="shared" si="3"/>
        <v>-1</v>
      </c>
    </row>
    <row r="38" spans="2:27" x14ac:dyDescent="0.35">
      <c r="B38">
        <v>36</v>
      </c>
      <c r="C38">
        <f t="shared" si="2"/>
        <v>5.5</v>
      </c>
      <c r="D38">
        <f t="shared" si="0"/>
        <v>-3.5371000000000001</v>
      </c>
      <c r="E38" t="str">
        <f t="shared" si="1"/>
        <v/>
      </c>
      <c r="F38" s="23">
        <f t="shared" si="3"/>
        <v>-1</v>
      </c>
      <c r="I38" s="2">
        <v>0</v>
      </c>
      <c r="J38" s="3">
        <v>0</v>
      </c>
      <c r="K38" s="3">
        <v>0</v>
      </c>
      <c r="L38" s="3">
        <v>0</v>
      </c>
      <c r="M38" s="3">
        <v>0</v>
      </c>
      <c r="N38" s="4">
        <v>1</v>
      </c>
      <c r="P38" s="10"/>
      <c r="T38" s="2"/>
      <c r="U38" s="3"/>
      <c r="V38" s="3"/>
      <c r="W38" s="4"/>
    </row>
    <row r="39" spans="2:27" ht="15" thickBot="1" x14ac:dyDescent="0.4">
      <c r="B39">
        <v>37</v>
      </c>
      <c r="C39">
        <f t="shared" si="2"/>
        <v>5.625</v>
      </c>
      <c r="D39">
        <f t="shared" si="0"/>
        <v>-3.5966999999999998</v>
      </c>
      <c r="E39" t="str">
        <f t="shared" si="1"/>
        <v/>
      </c>
      <c r="F39" s="23">
        <f t="shared" si="3"/>
        <v>-1</v>
      </c>
      <c r="H39" cm="1">
        <f t="array" ref="H39:H43">H29:H33</f>
        <v>-0.89419999999999999</v>
      </c>
      <c r="I39" s="5" cm="1">
        <f t="array" ref="I39:N39">J38:O38-H39*I38:N38</f>
        <v>0</v>
      </c>
      <c r="J39">
        <v>0</v>
      </c>
      <c r="K39">
        <v>0</v>
      </c>
      <c r="L39">
        <v>0</v>
      </c>
      <c r="M39">
        <v>1</v>
      </c>
      <c r="N39" s="6">
        <v>0.89419999999999999</v>
      </c>
      <c r="T39" s="5"/>
      <c r="W39" s="6"/>
    </row>
    <row r="40" spans="2:27" ht="15" thickBot="1" x14ac:dyDescent="0.4">
      <c r="B40">
        <v>38</v>
      </c>
      <c r="C40">
        <f t="shared" si="2"/>
        <v>5.75</v>
      </c>
      <c r="D40">
        <f t="shared" si="0"/>
        <v>-3.6000999999999999</v>
      </c>
      <c r="E40" t="str">
        <f t="shared" si="1"/>
        <v/>
      </c>
      <c r="F40" s="25">
        <f t="shared" si="3"/>
        <v>-1</v>
      </c>
      <c r="H40">
        <v>-1.3227</v>
      </c>
      <c r="I40" s="5" cm="1">
        <f t="array" ref="I40:N40">J39:O39-H40*I39:N39</f>
        <v>0</v>
      </c>
      <c r="J40">
        <v>0</v>
      </c>
      <c r="K40">
        <v>0</v>
      </c>
      <c r="L40">
        <v>1</v>
      </c>
      <c r="M40">
        <v>2.2168999999999999</v>
      </c>
      <c r="N40" s="6">
        <v>1.1827583399999999</v>
      </c>
      <c r="T40" s="5"/>
      <c r="W40" s="6"/>
    </row>
    <row r="41" spans="2:27" ht="15" thickBot="1" x14ac:dyDescent="0.4">
      <c r="B41">
        <v>39</v>
      </c>
      <c r="C41">
        <f t="shared" si="2"/>
        <v>5.875</v>
      </c>
      <c r="D41">
        <f t="shared" si="0"/>
        <v>-3.5474000000000001</v>
      </c>
      <c r="E41" t="str">
        <f t="shared" si="1"/>
        <v/>
      </c>
      <c r="F41" s="23">
        <f t="shared" si="3"/>
        <v>1</v>
      </c>
      <c r="H41">
        <v>-1.7304999999999999</v>
      </c>
      <c r="I41" s="5" cm="1">
        <f t="array" ref="I41:N41">J40:O40-H41*I40:N40</f>
        <v>0</v>
      </c>
      <c r="J41">
        <v>0</v>
      </c>
      <c r="K41">
        <v>1</v>
      </c>
      <c r="L41">
        <v>3.9474</v>
      </c>
      <c r="M41">
        <v>5.0191037899999991</v>
      </c>
      <c r="N41" s="6">
        <v>2.0467633073699996</v>
      </c>
      <c r="T41" s="7"/>
      <c r="U41" s="8"/>
      <c r="V41" s="8"/>
      <c r="W41" s="9"/>
    </row>
    <row r="42" spans="2:27" x14ac:dyDescent="0.35">
      <c r="B42">
        <v>40</v>
      </c>
      <c r="C42">
        <f t="shared" si="2"/>
        <v>6</v>
      </c>
      <c r="D42">
        <f t="shared" si="0"/>
        <v>-3.4392999999999998</v>
      </c>
      <c r="E42" t="str">
        <f t="shared" si="1"/>
        <v/>
      </c>
      <c r="F42" s="23">
        <f t="shared" si="3"/>
        <v>1</v>
      </c>
      <c r="H42">
        <v>-2.1114000000000002</v>
      </c>
      <c r="I42" s="5" cm="1">
        <f t="array" ref="I42:N42">J41:O41-H42*I41:N41</f>
        <v>0</v>
      </c>
      <c r="J42">
        <v>1</v>
      </c>
      <c r="K42">
        <v>6.0587999999999997</v>
      </c>
      <c r="L42">
        <v>13.353644149999999</v>
      </c>
      <c r="M42">
        <v>12.644099049575999</v>
      </c>
      <c r="N42" s="6">
        <v>4.3215360471810174</v>
      </c>
    </row>
    <row r="43" spans="2:27" ht="15" thickBot="1" x14ac:dyDescent="0.4">
      <c r="B43">
        <v>41</v>
      </c>
      <c r="C43">
        <f t="shared" si="2"/>
        <v>6.125</v>
      </c>
      <c r="D43">
        <f t="shared" si="0"/>
        <v>-3.2776000000000001</v>
      </c>
      <c r="E43" t="str">
        <f t="shared" si="1"/>
        <v/>
      </c>
      <c r="F43" s="23">
        <f t="shared" si="3"/>
        <v>1</v>
      </c>
      <c r="H43">
        <v>-2.4592999999999998</v>
      </c>
      <c r="I43" s="7" cm="1">
        <f t="array" ref="I43:N43">J42:O42-H43*I42:N42</f>
        <v>1</v>
      </c>
      <c r="J43" s="8">
        <v>8.5181000000000004</v>
      </c>
      <c r="K43" s="8">
        <v>28.254050989999996</v>
      </c>
      <c r="L43" s="8">
        <v>45.484716107670998</v>
      </c>
      <c r="M43" s="8">
        <v>35.417168839803267</v>
      </c>
      <c r="N43" s="9">
        <v>10.627953600832274</v>
      </c>
    </row>
    <row r="44" spans="2:27" x14ac:dyDescent="0.35">
      <c r="B44">
        <v>42</v>
      </c>
      <c r="C44">
        <f t="shared" si="2"/>
        <v>6.25</v>
      </c>
      <c r="D44">
        <f t="shared" si="0"/>
        <v>-3.0647000000000002</v>
      </c>
      <c r="E44" t="str">
        <f t="shared" si="1"/>
        <v/>
      </c>
      <c r="F44" s="23">
        <f t="shared" si="3"/>
        <v>1</v>
      </c>
    </row>
    <row r="45" spans="2:27" x14ac:dyDescent="0.35">
      <c r="B45">
        <v>43</v>
      </c>
      <c r="C45">
        <f t="shared" si="2"/>
        <v>6.375</v>
      </c>
      <c r="D45">
        <f t="shared" si="0"/>
        <v>-2.8039999999999998</v>
      </c>
      <c r="E45" t="str">
        <f t="shared" si="1"/>
        <v/>
      </c>
      <c r="F45" s="23">
        <f t="shared" si="3"/>
        <v>1</v>
      </c>
      <c r="H45" t="s">
        <v>10</v>
      </c>
    </row>
    <row r="46" spans="2:27" ht="15" thickBot="1" x14ac:dyDescent="0.4">
      <c r="B46">
        <v>44</v>
      </c>
      <c r="C46">
        <f t="shared" si="2"/>
        <v>6.5</v>
      </c>
      <c r="D46">
        <f t="shared" si="0"/>
        <v>-2.4994999999999998</v>
      </c>
      <c r="E46" t="str">
        <f t="shared" si="1"/>
        <v/>
      </c>
      <c r="F46" s="23">
        <f t="shared" si="3"/>
        <v>1</v>
      </c>
      <c r="I46">
        <f t="array" ref="I46:N46">MMULT(I36:N36,I38:N43)</f>
        <v>-2.1125409821641829E-3</v>
      </c>
      <c r="J46">
        <v>-1.4526743006049054E-2</v>
      </c>
      <c r="K46">
        <v>-4.6678028072955048E-2</v>
      </c>
      <c r="L46">
        <v>-6.3660386875760422E-2</v>
      </c>
      <c r="M46">
        <v>-0.32359840199591028</v>
      </c>
      <c r="N46">
        <v>4.1112460355211597</v>
      </c>
    </row>
    <row r="47" spans="2:27" ht="15" thickBot="1" x14ac:dyDescent="0.4">
      <c r="B47">
        <v>45</v>
      </c>
      <c r="C47">
        <f t="shared" si="2"/>
        <v>6.625</v>
      </c>
      <c r="D47">
        <f t="shared" si="0"/>
        <v>-2.1560000000000001</v>
      </c>
      <c r="E47">
        <f t="shared" si="1"/>
        <v>1</v>
      </c>
      <c r="F47" s="23">
        <f t="shared" si="3"/>
        <v>1</v>
      </c>
      <c r="H47">
        <f>F1</f>
        <v>-2</v>
      </c>
      <c r="I47">
        <f>I46</f>
        <v>-2.1125409821641829E-3</v>
      </c>
      <c r="J47">
        <f>I47*$H$47+J46</f>
        <v>-1.0301661041720688E-2</v>
      </c>
      <c r="K47">
        <f t="shared" ref="K47:N47" si="7">J47*$H$47+K46</f>
        <v>-2.6074705989513672E-2</v>
      </c>
      <c r="L47">
        <f t="shared" si="7"/>
        <v>-1.1510974896733077E-2</v>
      </c>
      <c r="M47">
        <f t="shared" si="7"/>
        <v>-0.30057645220244411</v>
      </c>
      <c r="N47" s="10">
        <f t="shared" si="7"/>
        <v>4.7123989399260484</v>
      </c>
      <c r="T47" s="11"/>
      <c r="U47" s="12"/>
      <c r="V47" s="12"/>
      <c r="W47" s="12"/>
      <c r="X47" s="12"/>
      <c r="Y47" s="12"/>
      <c r="Z47" s="12"/>
      <c r="AA47" s="13"/>
    </row>
    <row r="48" spans="2:27" x14ac:dyDescent="0.35">
      <c r="B48">
        <v>46</v>
      </c>
      <c r="C48">
        <f t="shared" si="2"/>
        <v>6.75</v>
      </c>
      <c r="D48">
        <f t="shared" si="0"/>
        <v>-1.7788999999999999</v>
      </c>
      <c r="E48" t="str">
        <f t="shared" si="1"/>
        <v/>
      </c>
      <c r="F48" s="23">
        <f t="shared" si="3"/>
        <v>1</v>
      </c>
      <c r="AA48" s="1"/>
    </row>
    <row r="49" spans="2:6" x14ac:dyDescent="0.35">
      <c r="B49">
        <v>47</v>
      </c>
      <c r="C49">
        <f t="shared" si="2"/>
        <v>6.875</v>
      </c>
      <c r="D49">
        <f t="shared" si="0"/>
        <v>-1.3741000000000001</v>
      </c>
      <c r="E49" t="str">
        <f t="shared" si="1"/>
        <v/>
      </c>
      <c r="F49" s="23">
        <f t="shared" si="3"/>
        <v>1</v>
      </c>
    </row>
    <row r="50" spans="2:6" x14ac:dyDescent="0.35">
      <c r="B50">
        <v>48</v>
      </c>
      <c r="C50">
        <f t="shared" si="2"/>
        <v>7</v>
      </c>
      <c r="D50">
        <f t="shared" si="0"/>
        <v>-0.94769999999999999</v>
      </c>
      <c r="E50" t="str">
        <f t="shared" si="1"/>
        <v/>
      </c>
      <c r="F50" s="23">
        <f t="shared" si="3"/>
        <v>1</v>
      </c>
    </row>
    <row r="51" spans="2:6" x14ac:dyDescent="0.35">
      <c r="B51">
        <v>49</v>
      </c>
      <c r="C51">
        <f t="shared" si="2"/>
        <v>7.125</v>
      </c>
      <c r="D51">
        <f t="shared" si="0"/>
        <v>-0.50660000000000005</v>
      </c>
      <c r="E51" t="str">
        <f t="shared" si="1"/>
        <v/>
      </c>
      <c r="F51" s="23">
        <f t="shared" si="3"/>
        <v>1</v>
      </c>
    </row>
    <row r="52" spans="2:6" x14ac:dyDescent="0.35">
      <c r="B52">
        <v>50</v>
      </c>
      <c r="C52">
        <f t="shared" si="2"/>
        <v>7.25</v>
      </c>
      <c r="D52">
        <f t="shared" si="0"/>
        <v>-5.7599999999999998E-2</v>
      </c>
      <c r="E52" t="str">
        <f t="shared" si="1"/>
        <v/>
      </c>
      <c r="F52" s="23">
        <f t="shared" si="3"/>
        <v>1</v>
      </c>
    </row>
    <row r="53" spans="2:6" x14ac:dyDescent="0.35">
      <c r="B53">
        <v>51</v>
      </c>
      <c r="C53">
        <f t="shared" si="2"/>
        <v>7.375</v>
      </c>
      <c r="D53">
        <f t="shared" si="0"/>
        <v>0.39229999999999998</v>
      </c>
      <c r="E53" t="str">
        <f t="shared" si="1"/>
        <v/>
      </c>
      <c r="F53" s="23">
        <f t="shared" si="3"/>
        <v>1</v>
      </c>
    </row>
    <row r="54" spans="2:6" x14ac:dyDescent="0.35">
      <c r="B54">
        <v>52</v>
      </c>
      <c r="C54">
        <f t="shared" si="2"/>
        <v>7.5</v>
      </c>
      <c r="D54">
        <f t="shared" si="0"/>
        <v>0.83609999999999995</v>
      </c>
      <c r="E54" t="str">
        <f t="shared" si="1"/>
        <v/>
      </c>
      <c r="F54" s="23">
        <f t="shared" si="3"/>
        <v>1</v>
      </c>
    </row>
    <row r="55" spans="2:6" x14ac:dyDescent="0.35">
      <c r="B55">
        <v>53</v>
      </c>
      <c r="C55">
        <f t="shared" si="2"/>
        <v>7.625</v>
      </c>
      <c r="D55">
        <f t="shared" si="0"/>
        <v>1.2667999999999999</v>
      </c>
      <c r="E55" t="str">
        <f t="shared" si="1"/>
        <v/>
      </c>
      <c r="F55" s="23">
        <f t="shared" si="3"/>
        <v>1</v>
      </c>
    </row>
    <row r="56" spans="2:6" x14ac:dyDescent="0.35">
      <c r="B56">
        <v>54</v>
      </c>
      <c r="C56">
        <f t="shared" si="2"/>
        <v>7.75</v>
      </c>
      <c r="D56">
        <f t="shared" si="0"/>
        <v>1.6778</v>
      </c>
      <c r="E56" t="str">
        <f t="shared" si="1"/>
        <v/>
      </c>
      <c r="F56" s="23">
        <f t="shared" si="3"/>
        <v>1</v>
      </c>
    </row>
    <row r="57" spans="2:6" x14ac:dyDescent="0.35">
      <c r="B57">
        <v>55</v>
      </c>
      <c r="C57">
        <f t="shared" si="2"/>
        <v>7.875</v>
      </c>
      <c r="D57">
        <f t="shared" si="0"/>
        <v>2.0626000000000002</v>
      </c>
      <c r="E57" t="str">
        <f t="shared" si="1"/>
        <v/>
      </c>
      <c r="F57" s="23">
        <f t="shared" si="3"/>
        <v>1</v>
      </c>
    </row>
    <row r="58" spans="2:6" x14ac:dyDescent="0.35">
      <c r="B58">
        <v>56</v>
      </c>
      <c r="C58">
        <f t="shared" si="2"/>
        <v>8</v>
      </c>
      <c r="D58">
        <f t="shared" si="0"/>
        <v>2.4152</v>
      </c>
      <c r="E58" t="str">
        <f t="shared" si="1"/>
        <v/>
      </c>
      <c r="F58" s="23">
        <f t="shared" si="3"/>
        <v>1</v>
      </c>
    </row>
    <row r="59" spans="2:6" x14ac:dyDescent="0.35">
      <c r="B59">
        <v>57</v>
      </c>
      <c r="C59">
        <f t="shared" si="2"/>
        <v>8.125</v>
      </c>
      <c r="D59">
        <f t="shared" si="0"/>
        <v>2.7301000000000002</v>
      </c>
      <c r="E59" t="str">
        <f t="shared" si="1"/>
        <v/>
      </c>
      <c r="F59" s="23">
        <f t="shared" si="3"/>
        <v>1</v>
      </c>
    </row>
    <row r="60" spans="2:6" x14ac:dyDescent="0.35">
      <c r="B60">
        <v>58</v>
      </c>
      <c r="C60">
        <f t="shared" si="2"/>
        <v>8.25</v>
      </c>
      <c r="D60">
        <f t="shared" si="0"/>
        <v>3.0024999999999999</v>
      </c>
      <c r="E60" t="str">
        <f t="shared" si="1"/>
        <v/>
      </c>
      <c r="F60" s="23">
        <f t="shared" si="3"/>
        <v>1</v>
      </c>
    </row>
    <row r="61" spans="2:6" x14ac:dyDescent="0.35">
      <c r="B61">
        <v>59</v>
      </c>
      <c r="C61">
        <f t="shared" si="2"/>
        <v>8.375</v>
      </c>
      <c r="D61">
        <f t="shared" si="0"/>
        <v>3.2279</v>
      </c>
      <c r="E61" t="str">
        <f t="shared" si="1"/>
        <v/>
      </c>
      <c r="F61" s="23">
        <f t="shared" si="3"/>
        <v>1</v>
      </c>
    </row>
    <row r="62" spans="2:6" x14ac:dyDescent="0.35">
      <c r="B62">
        <v>60</v>
      </c>
      <c r="C62">
        <f t="shared" si="2"/>
        <v>8.5</v>
      </c>
      <c r="D62">
        <f t="shared" si="0"/>
        <v>3.403</v>
      </c>
      <c r="E62" t="str">
        <f t="shared" si="1"/>
        <v/>
      </c>
      <c r="F62" s="23">
        <f t="shared" si="3"/>
        <v>1</v>
      </c>
    </row>
    <row r="63" spans="2:6" x14ac:dyDescent="0.35">
      <c r="B63">
        <v>61</v>
      </c>
      <c r="C63">
        <f t="shared" si="2"/>
        <v>8.625</v>
      </c>
      <c r="D63">
        <f t="shared" si="0"/>
        <v>3.5249999999999999</v>
      </c>
      <c r="E63" t="str">
        <f t="shared" si="1"/>
        <v/>
      </c>
      <c r="F63" s="23">
        <f t="shared" si="3"/>
        <v>1</v>
      </c>
    </row>
    <row r="64" spans="2:6" ht="15" thickBot="1" x14ac:dyDescent="0.4">
      <c r="B64">
        <v>62</v>
      </c>
      <c r="C64">
        <f t="shared" si="2"/>
        <v>8.75</v>
      </c>
      <c r="D64">
        <f t="shared" si="0"/>
        <v>3.5920000000000001</v>
      </c>
      <c r="E64" t="str">
        <f t="shared" si="1"/>
        <v/>
      </c>
      <c r="F64" s="23">
        <f t="shared" si="3"/>
        <v>1</v>
      </c>
    </row>
    <row r="65" spans="2:6" ht="15" thickBot="1" x14ac:dyDescent="0.4">
      <c r="B65">
        <v>63</v>
      </c>
      <c r="C65">
        <f t="shared" si="2"/>
        <v>8.875</v>
      </c>
      <c r="D65">
        <f t="shared" si="0"/>
        <v>3.6029</v>
      </c>
      <c r="E65" t="str">
        <f t="shared" si="1"/>
        <v/>
      </c>
      <c r="F65" s="25">
        <f t="shared" si="3"/>
        <v>1</v>
      </c>
    </row>
    <row r="66" spans="2:6" x14ac:dyDescent="0.35">
      <c r="B66">
        <v>64</v>
      </c>
      <c r="C66">
        <f t="shared" si="2"/>
        <v>9</v>
      </c>
      <c r="D66">
        <f t="shared" si="0"/>
        <v>3.5575999999999999</v>
      </c>
      <c r="E66" t="str">
        <f t="shared" si="1"/>
        <v/>
      </c>
      <c r="F66" s="23">
        <f t="shared" si="3"/>
        <v>-1</v>
      </c>
    </row>
    <row r="67" spans="2:6" x14ac:dyDescent="0.35">
      <c r="B67">
        <v>65</v>
      </c>
      <c r="C67">
        <f t="shared" si="2"/>
        <v>9.125</v>
      </c>
      <c r="D67">
        <f t="shared" ref="D67:D130" si="8">ROUND(2*SIN(C67)-3*COS(C67),4)</f>
        <v>3.4567999999999999</v>
      </c>
      <c r="E67" t="str">
        <f t="shared" ref="E67:E130" si="9">IF((D67-$F$1)*(D68-$F$1)&lt;0,1,"")</f>
        <v/>
      </c>
      <c r="F67" s="23">
        <f t="shared" si="3"/>
        <v>-1</v>
      </c>
    </row>
    <row r="68" spans="2:6" x14ac:dyDescent="0.35">
      <c r="B68">
        <v>66</v>
      </c>
      <c r="C68">
        <f t="shared" ref="C68:C131" si="10">ROUND(C67+$C$1,4)</f>
        <v>9.25</v>
      </c>
      <c r="D68">
        <f t="shared" si="8"/>
        <v>3.3020999999999998</v>
      </c>
      <c r="E68" t="str">
        <f t="shared" si="9"/>
        <v/>
      </c>
      <c r="F68" s="23">
        <f t="shared" ref="F68:F131" si="11">IF(D68-D67&gt;0,1,IF(D68-D67&lt;0,-1,0))</f>
        <v>-1</v>
      </c>
    </row>
    <row r="69" spans="2:6" x14ac:dyDescent="0.35">
      <c r="B69">
        <v>67</v>
      </c>
      <c r="C69">
        <f t="shared" si="10"/>
        <v>9.375</v>
      </c>
      <c r="D69">
        <f t="shared" si="8"/>
        <v>3.0958000000000001</v>
      </c>
      <c r="E69" t="str">
        <f t="shared" si="9"/>
        <v/>
      </c>
      <c r="F69" s="23">
        <f t="shared" si="11"/>
        <v>-1</v>
      </c>
    </row>
    <row r="70" spans="2:6" x14ac:dyDescent="0.35">
      <c r="B70">
        <v>68</v>
      </c>
      <c r="C70">
        <f t="shared" si="10"/>
        <v>9.5</v>
      </c>
      <c r="D70">
        <f t="shared" si="8"/>
        <v>2.8412000000000002</v>
      </c>
      <c r="E70" t="str">
        <f t="shared" si="9"/>
        <v/>
      </c>
      <c r="F70" s="23">
        <f t="shared" si="11"/>
        <v>-1</v>
      </c>
    </row>
    <row r="71" spans="2:6" x14ac:dyDescent="0.35">
      <c r="B71">
        <v>69</v>
      </c>
      <c r="C71">
        <f t="shared" si="10"/>
        <v>9.625</v>
      </c>
      <c r="D71">
        <f t="shared" si="8"/>
        <v>2.5423</v>
      </c>
      <c r="E71" t="str">
        <f t="shared" si="9"/>
        <v/>
      </c>
      <c r="F71" s="23">
        <f t="shared" si="11"/>
        <v>-1</v>
      </c>
    </row>
    <row r="72" spans="2:6" x14ac:dyDescent="0.35">
      <c r="B72">
        <v>70</v>
      </c>
      <c r="C72">
        <f t="shared" si="10"/>
        <v>9.75</v>
      </c>
      <c r="D72">
        <f t="shared" si="8"/>
        <v>2.2037</v>
      </c>
      <c r="E72" t="str">
        <f t="shared" si="9"/>
        <v/>
      </c>
      <c r="F72" s="23">
        <f t="shared" si="11"/>
        <v>-1</v>
      </c>
    </row>
    <row r="73" spans="2:6" x14ac:dyDescent="0.35">
      <c r="B73">
        <v>71</v>
      </c>
      <c r="C73">
        <f t="shared" si="10"/>
        <v>9.875</v>
      </c>
      <c r="D73">
        <f t="shared" si="8"/>
        <v>1.8307</v>
      </c>
      <c r="E73" t="str">
        <f t="shared" si="9"/>
        <v/>
      </c>
      <c r="F73" s="23">
        <f t="shared" si="11"/>
        <v>-1</v>
      </c>
    </row>
    <row r="74" spans="2:6" x14ac:dyDescent="0.35">
      <c r="B74">
        <v>72</v>
      </c>
      <c r="C74">
        <f t="shared" si="10"/>
        <v>10</v>
      </c>
      <c r="D74">
        <f t="shared" si="8"/>
        <v>1.4292</v>
      </c>
      <c r="E74" t="str">
        <f t="shared" si="9"/>
        <v/>
      </c>
      <c r="F74" s="23">
        <f t="shared" si="11"/>
        <v>-1</v>
      </c>
    </row>
    <row r="75" spans="2:6" x14ac:dyDescent="0.35">
      <c r="B75">
        <v>73</v>
      </c>
      <c r="C75">
        <f t="shared" si="10"/>
        <v>10.125</v>
      </c>
      <c r="D75">
        <f t="shared" si="8"/>
        <v>1.0053000000000001</v>
      </c>
      <c r="E75" t="str">
        <f t="shared" si="9"/>
        <v/>
      </c>
      <c r="F75" s="23">
        <f t="shared" si="11"/>
        <v>-1</v>
      </c>
    </row>
    <row r="76" spans="2:6" x14ac:dyDescent="0.35">
      <c r="B76">
        <v>74</v>
      </c>
      <c r="C76">
        <f t="shared" si="10"/>
        <v>10.25</v>
      </c>
      <c r="D76">
        <f t="shared" si="8"/>
        <v>0.56579999999999997</v>
      </c>
      <c r="E76" t="str">
        <f t="shared" si="9"/>
        <v/>
      </c>
      <c r="F76" s="23">
        <f t="shared" si="11"/>
        <v>-1</v>
      </c>
    </row>
    <row r="77" spans="2:6" x14ac:dyDescent="0.35">
      <c r="B77">
        <v>75</v>
      </c>
      <c r="C77">
        <f t="shared" si="10"/>
        <v>10.375</v>
      </c>
      <c r="D77">
        <f t="shared" si="8"/>
        <v>0.1174</v>
      </c>
      <c r="E77" t="str">
        <f t="shared" si="9"/>
        <v/>
      </c>
      <c r="F77" s="23">
        <f t="shared" si="11"/>
        <v>-1</v>
      </c>
    </row>
    <row r="78" spans="2:6" x14ac:dyDescent="0.35">
      <c r="B78">
        <v>76</v>
      </c>
      <c r="C78">
        <f t="shared" si="10"/>
        <v>10.5</v>
      </c>
      <c r="D78">
        <f t="shared" si="8"/>
        <v>-0.33279999999999998</v>
      </c>
      <c r="E78" t="str">
        <f t="shared" si="9"/>
        <v/>
      </c>
      <c r="F78" s="23">
        <f t="shared" si="11"/>
        <v>-1</v>
      </c>
    </row>
    <row r="79" spans="2:6" x14ac:dyDescent="0.35">
      <c r="B79">
        <v>77</v>
      </c>
      <c r="C79">
        <f t="shared" si="10"/>
        <v>10.625</v>
      </c>
      <c r="D79">
        <f t="shared" si="8"/>
        <v>-0.77780000000000005</v>
      </c>
      <c r="E79" t="str">
        <f t="shared" si="9"/>
        <v/>
      </c>
      <c r="F79" s="23">
        <f t="shared" si="11"/>
        <v>-1</v>
      </c>
    </row>
    <row r="80" spans="2:6" x14ac:dyDescent="0.35">
      <c r="B80">
        <v>78</v>
      </c>
      <c r="C80">
        <f t="shared" si="10"/>
        <v>10.75</v>
      </c>
      <c r="D80">
        <f t="shared" si="8"/>
        <v>-1.2107000000000001</v>
      </c>
      <c r="E80" t="str">
        <f t="shared" si="9"/>
        <v/>
      </c>
      <c r="F80" s="23">
        <f t="shared" si="11"/>
        <v>-1</v>
      </c>
    </row>
    <row r="81" spans="2:8" x14ac:dyDescent="0.35">
      <c r="B81">
        <v>79</v>
      </c>
      <c r="C81">
        <f t="shared" si="10"/>
        <v>10.875</v>
      </c>
      <c r="D81">
        <f t="shared" si="8"/>
        <v>-1.6246</v>
      </c>
      <c r="E81">
        <f t="shared" si="9"/>
        <v>1</v>
      </c>
      <c r="F81" s="23">
        <f t="shared" si="11"/>
        <v>-1</v>
      </c>
    </row>
    <row r="82" spans="2:8" x14ac:dyDescent="0.35">
      <c r="B82">
        <v>80</v>
      </c>
      <c r="C82">
        <f t="shared" si="10"/>
        <v>11</v>
      </c>
      <c r="D82">
        <f t="shared" si="8"/>
        <v>-2.0133000000000001</v>
      </c>
      <c r="E82" t="str">
        <f t="shared" si="9"/>
        <v/>
      </c>
      <c r="F82" s="23">
        <f t="shared" si="11"/>
        <v>-1</v>
      </c>
    </row>
    <row r="83" spans="2:8" x14ac:dyDescent="0.35">
      <c r="B83">
        <v>81</v>
      </c>
      <c r="C83">
        <f t="shared" si="10"/>
        <v>11.125</v>
      </c>
      <c r="D83">
        <f t="shared" si="8"/>
        <v>-2.3704999999999998</v>
      </c>
      <c r="E83" t="str">
        <f t="shared" si="9"/>
        <v/>
      </c>
      <c r="F83" s="23">
        <f t="shared" si="11"/>
        <v>-1</v>
      </c>
    </row>
    <row r="84" spans="2:8" x14ac:dyDescent="0.35">
      <c r="B84">
        <v>82</v>
      </c>
      <c r="C84">
        <f t="shared" si="10"/>
        <v>11.25</v>
      </c>
      <c r="D84">
        <f t="shared" si="8"/>
        <v>-2.6907000000000001</v>
      </c>
      <c r="E84" t="str">
        <f t="shared" si="9"/>
        <v/>
      </c>
      <c r="F84" s="23">
        <f t="shared" si="11"/>
        <v>-1</v>
      </c>
    </row>
    <row r="85" spans="2:8" x14ac:dyDescent="0.35">
      <c r="B85">
        <v>83</v>
      </c>
      <c r="C85">
        <f t="shared" si="10"/>
        <v>11.375</v>
      </c>
      <c r="D85">
        <f t="shared" si="8"/>
        <v>-2.9689000000000001</v>
      </c>
      <c r="E85" t="str">
        <f t="shared" si="9"/>
        <v/>
      </c>
      <c r="F85" s="23">
        <f t="shared" si="11"/>
        <v>-1</v>
      </c>
    </row>
    <row r="86" spans="2:8" x14ac:dyDescent="0.35">
      <c r="B86">
        <v>84</v>
      </c>
      <c r="C86">
        <f t="shared" si="10"/>
        <v>11.5</v>
      </c>
      <c r="D86">
        <f t="shared" si="8"/>
        <v>-3.2008000000000001</v>
      </c>
      <c r="E86" t="str">
        <f t="shared" si="9"/>
        <v/>
      </c>
      <c r="F86" s="23">
        <f t="shared" si="11"/>
        <v>-1</v>
      </c>
    </row>
    <row r="87" spans="2:8" x14ac:dyDescent="0.35">
      <c r="B87">
        <v>85</v>
      </c>
      <c r="C87">
        <f t="shared" si="10"/>
        <v>11.625</v>
      </c>
      <c r="D87">
        <f t="shared" si="8"/>
        <v>-3.3828</v>
      </c>
      <c r="E87" t="str">
        <f t="shared" si="9"/>
        <v/>
      </c>
      <c r="F87" s="23">
        <f t="shared" si="11"/>
        <v>-1</v>
      </c>
    </row>
    <row r="88" spans="2:8" x14ac:dyDescent="0.35">
      <c r="B88">
        <v>86</v>
      </c>
      <c r="C88">
        <f t="shared" si="10"/>
        <v>11.75</v>
      </c>
      <c r="D88">
        <f t="shared" si="8"/>
        <v>-3.5118999999999998</v>
      </c>
      <c r="E88" t="str">
        <f t="shared" si="9"/>
        <v/>
      </c>
      <c r="F88" s="23">
        <f t="shared" si="11"/>
        <v>-1</v>
      </c>
    </row>
    <row r="89" spans="2:8" ht="15" thickBot="1" x14ac:dyDescent="0.4">
      <c r="B89">
        <v>87</v>
      </c>
      <c r="C89">
        <f t="shared" si="10"/>
        <v>11.875</v>
      </c>
      <c r="D89">
        <f t="shared" si="8"/>
        <v>-3.5863</v>
      </c>
      <c r="E89" t="str">
        <f t="shared" si="9"/>
        <v/>
      </c>
      <c r="F89" s="23">
        <f t="shared" si="11"/>
        <v>-1</v>
      </c>
    </row>
    <row r="90" spans="2:8" ht="15" thickBot="1" x14ac:dyDescent="0.4">
      <c r="B90">
        <v>88</v>
      </c>
      <c r="C90">
        <f t="shared" si="10"/>
        <v>12</v>
      </c>
      <c r="D90">
        <f t="shared" si="8"/>
        <v>-3.6046999999999998</v>
      </c>
      <c r="E90" t="str">
        <f t="shared" si="9"/>
        <v/>
      </c>
      <c r="F90" s="25">
        <f t="shared" si="11"/>
        <v>-1</v>
      </c>
    </row>
    <row r="91" spans="2:8" x14ac:dyDescent="0.35">
      <c r="B91">
        <v>89</v>
      </c>
      <c r="C91">
        <f t="shared" si="10"/>
        <v>12.125</v>
      </c>
      <c r="D91">
        <f t="shared" si="8"/>
        <v>-3.5669</v>
      </c>
      <c r="E91" t="str">
        <f t="shared" si="9"/>
        <v/>
      </c>
      <c r="F91" s="23">
        <f t="shared" si="11"/>
        <v>1</v>
      </c>
    </row>
    <row r="92" spans="2:8" x14ac:dyDescent="0.35">
      <c r="B92">
        <v>90</v>
      </c>
      <c r="C92">
        <f t="shared" si="10"/>
        <v>12.25</v>
      </c>
      <c r="D92">
        <f t="shared" si="8"/>
        <v>-3.4733999999999998</v>
      </c>
      <c r="E92" t="str">
        <f t="shared" si="9"/>
        <v/>
      </c>
      <c r="F92" s="23">
        <f t="shared" si="11"/>
        <v>1</v>
      </c>
    </row>
    <row r="93" spans="2:8" x14ac:dyDescent="0.35">
      <c r="B93">
        <v>91</v>
      </c>
      <c r="C93">
        <f t="shared" si="10"/>
        <v>12.375</v>
      </c>
      <c r="D93">
        <f t="shared" si="8"/>
        <v>-3.3256000000000001</v>
      </c>
      <c r="E93" t="str">
        <f t="shared" si="9"/>
        <v/>
      </c>
      <c r="F93" s="23">
        <f t="shared" si="11"/>
        <v>1</v>
      </c>
    </row>
    <row r="94" spans="2:8" x14ac:dyDescent="0.35">
      <c r="B94">
        <v>92</v>
      </c>
      <c r="C94">
        <f t="shared" si="10"/>
        <v>12.5</v>
      </c>
      <c r="D94">
        <f t="shared" si="8"/>
        <v>-3.1259999999999999</v>
      </c>
      <c r="E94" t="str">
        <f t="shared" si="9"/>
        <v/>
      </c>
      <c r="F94" s="23">
        <f t="shared" si="11"/>
        <v>1</v>
      </c>
    </row>
    <row r="95" spans="2:8" x14ac:dyDescent="0.35">
      <c r="B95">
        <v>93</v>
      </c>
      <c r="C95">
        <f t="shared" si="10"/>
        <v>12.625</v>
      </c>
      <c r="D95">
        <f t="shared" si="8"/>
        <v>-2.8776999999999999</v>
      </c>
      <c r="E95" t="str">
        <f t="shared" si="9"/>
        <v/>
      </c>
      <c r="F95" s="23">
        <f t="shared" si="11"/>
        <v>1</v>
      </c>
      <c r="H95" t="s">
        <v>11</v>
      </c>
    </row>
    <row r="96" spans="2:8" x14ac:dyDescent="0.35">
      <c r="B96">
        <v>94</v>
      </c>
      <c r="C96">
        <f t="shared" si="10"/>
        <v>12.75</v>
      </c>
      <c r="D96">
        <f t="shared" si="8"/>
        <v>-2.5844</v>
      </c>
      <c r="E96" t="str">
        <f t="shared" si="9"/>
        <v/>
      </c>
      <c r="F96" s="23">
        <f t="shared" si="11"/>
        <v>1</v>
      </c>
    </row>
    <row r="97" spans="2:14" x14ac:dyDescent="0.35">
      <c r="B97">
        <v>95</v>
      </c>
      <c r="C97" s="27">
        <f t="shared" si="10"/>
        <v>12.875</v>
      </c>
      <c r="D97" s="27">
        <f t="shared" si="8"/>
        <v>-2.2507000000000001</v>
      </c>
      <c r="E97">
        <f t="shared" si="9"/>
        <v>1</v>
      </c>
      <c r="F97" s="23">
        <f t="shared" si="11"/>
        <v>1</v>
      </c>
      <c r="H97" cm="1">
        <f t="array" ref="H97:H102">C97:C102</f>
        <v>12.875</v>
      </c>
      <c r="I97" cm="1">
        <f t="array" ref="I97:I102">D97:D102</f>
        <v>-2.2507000000000001</v>
      </c>
    </row>
    <row r="98" spans="2:14" x14ac:dyDescent="0.35">
      <c r="B98">
        <v>96</v>
      </c>
      <c r="C98" s="27">
        <f t="shared" si="10"/>
        <v>13</v>
      </c>
      <c r="D98" s="27">
        <f t="shared" si="8"/>
        <v>-1.8819999999999999</v>
      </c>
      <c r="E98" t="str">
        <f t="shared" si="9"/>
        <v/>
      </c>
      <c r="F98" s="23">
        <f t="shared" si="11"/>
        <v>1</v>
      </c>
      <c r="H98">
        <v>13</v>
      </c>
      <c r="I98">
        <v>-1.8819999999999999</v>
      </c>
      <c r="J98">
        <f>I98-I97</f>
        <v>0.36870000000000025</v>
      </c>
    </row>
    <row r="99" spans="2:14" x14ac:dyDescent="0.35">
      <c r="B99">
        <v>97</v>
      </c>
      <c r="C99" s="27">
        <f t="shared" si="10"/>
        <v>13.125</v>
      </c>
      <c r="D99" s="27">
        <f t="shared" si="8"/>
        <v>-1.4839</v>
      </c>
      <c r="E99" t="str">
        <f t="shared" si="9"/>
        <v/>
      </c>
      <c r="F99" s="23">
        <f t="shared" si="11"/>
        <v>1</v>
      </c>
      <c r="H99">
        <v>13.125</v>
      </c>
      <c r="I99">
        <v>-1.4839</v>
      </c>
      <c r="J99">
        <f t="shared" ref="J99:K102" si="12">I99-I98</f>
        <v>0.3980999999999999</v>
      </c>
      <c r="K99">
        <f t="shared" si="12"/>
        <v>2.9399999999999649E-2</v>
      </c>
    </row>
    <row r="100" spans="2:14" x14ac:dyDescent="0.35">
      <c r="B100">
        <v>98</v>
      </c>
      <c r="C100" s="27">
        <f t="shared" si="10"/>
        <v>13.25</v>
      </c>
      <c r="D100" s="27">
        <f t="shared" si="8"/>
        <v>-1.0626</v>
      </c>
      <c r="E100" t="str">
        <f t="shared" si="9"/>
        <v/>
      </c>
      <c r="F100" s="23">
        <f t="shared" si="11"/>
        <v>1</v>
      </c>
      <c r="H100">
        <v>13.25</v>
      </c>
      <c r="I100">
        <v>-1.0626</v>
      </c>
      <c r="J100">
        <f t="shared" si="12"/>
        <v>0.42130000000000001</v>
      </c>
      <c r="K100">
        <f t="shared" si="12"/>
        <v>2.3200000000000109E-2</v>
      </c>
      <c r="L100">
        <f t="shared" ref="L100" si="13">K100-K99</f>
        <v>-6.1999999999995392E-3</v>
      </c>
    </row>
    <row r="101" spans="2:14" x14ac:dyDescent="0.35">
      <c r="B101">
        <v>99</v>
      </c>
      <c r="C101" s="27">
        <f t="shared" si="10"/>
        <v>13.375</v>
      </c>
      <c r="D101" s="27">
        <f t="shared" si="8"/>
        <v>-0.62480000000000002</v>
      </c>
      <c r="E101" t="str">
        <f t="shared" si="9"/>
        <v/>
      </c>
      <c r="F101" s="23">
        <f t="shared" si="11"/>
        <v>1</v>
      </c>
      <c r="H101">
        <v>13.375</v>
      </c>
      <c r="I101">
        <v>-0.62480000000000002</v>
      </c>
      <c r="J101">
        <f t="shared" si="12"/>
        <v>0.43779999999999997</v>
      </c>
      <c r="K101">
        <f t="shared" si="12"/>
        <v>1.6499999999999959E-2</v>
      </c>
      <c r="L101">
        <f t="shared" ref="L101:M101" si="14">K101-K100</f>
        <v>-6.7000000000001503E-3</v>
      </c>
      <c r="M101">
        <f t="shared" si="14"/>
        <v>-5.0000000000061107E-4</v>
      </c>
    </row>
    <row r="102" spans="2:14" x14ac:dyDescent="0.35">
      <c r="B102">
        <v>100</v>
      </c>
      <c r="C102" s="27">
        <f t="shared" si="10"/>
        <v>13.5</v>
      </c>
      <c r="D102" s="27">
        <f t="shared" si="8"/>
        <v>-0.1772</v>
      </c>
      <c r="E102" t="str">
        <f t="shared" si="9"/>
        <v/>
      </c>
      <c r="F102" s="23">
        <f t="shared" si="11"/>
        <v>1</v>
      </c>
      <c r="H102">
        <v>13.5</v>
      </c>
      <c r="I102">
        <v>-0.1772</v>
      </c>
      <c r="J102">
        <f t="shared" si="12"/>
        <v>0.4476</v>
      </c>
      <c r="K102">
        <f t="shared" si="12"/>
        <v>9.8000000000000309E-3</v>
      </c>
      <c r="L102">
        <f t="shared" ref="L102:N102" si="15">K102-K101</f>
        <v>-6.6999999999999282E-3</v>
      </c>
      <c r="M102">
        <f t="shared" si="15"/>
        <v>2.2204460492503131E-16</v>
      </c>
      <c r="N102">
        <f t="shared" si="15"/>
        <v>5.0000000000083311E-4</v>
      </c>
    </row>
    <row r="103" spans="2:14" x14ac:dyDescent="0.35">
      <c r="B103">
        <v>101</v>
      </c>
      <c r="C103">
        <f t="shared" si="10"/>
        <v>13.625</v>
      </c>
      <c r="D103">
        <f t="shared" si="8"/>
        <v>0.2732</v>
      </c>
      <c r="E103" t="str">
        <f t="shared" si="9"/>
        <v/>
      </c>
      <c r="F103" s="23">
        <f t="shared" si="11"/>
        <v>1</v>
      </c>
    </row>
    <row r="104" spans="2:14" x14ac:dyDescent="0.35">
      <c r="B104">
        <v>102</v>
      </c>
      <c r="C104">
        <f t="shared" si="10"/>
        <v>13.75</v>
      </c>
      <c r="D104">
        <f t="shared" si="8"/>
        <v>0.71930000000000005</v>
      </c>
      <c r="E104" t="str">
        <f t="shared" si="9"/>
        <v/>
      </c>
      <c r="F104" s="23">
        <f t="shared" si="11"/>
        <v>1</v>
      </c>
      <c r="H104">
        <f>F1</f>
        <v>-2</v>
      </c>
      <c r="I104">
        <f>I97</f>
        <v>-2.2507000000000001</v>
      </c>
      <c r="J104">
        <f>J98</f>
        <v>0.36870000000000025</v>
      </c>
      <c r="K104">
        <f>K99/2</f>
        <v>1.4699999999999824E-2</v>
      </c>
      <c r="L104">
        <f>L100/2/3</f>
        <v>-1.0333333333332566E-3</v>
      </c>
      <c r="M104">
        <f>M101/2/3/4</f>
        <v>-2.0833333333358794E-5</v>
      </c>
      <c r="N104">
        <f>N102/2/3/4/5</f>
        <v>4.1666666666736091E-6</v>
      </c>
    </row>
    <row r="105" spans="2:14" x14ac:dyDescent="0.35">
      <c r="B105">
        <v>103</v>
      </c>
      <c r="C105">
        <f t="shared" si="10"/>
        <v>13.875</v>
      </c>
      <c r="D105">
        <f t="shared" si="8"/>
        <v>1.1540999999999999</v>
      </c>
      <c r="E105" t="str">
        <f t="shared" si="9"/>
        <v/>
      </c>
      <c r="F105" s="23">
        <f t="shared" si="11"/>
        <v>1</v>
      </c>
      <c r="H105" t="s">
        <v>12</v>
      </c>
      <c r="I105" t="s">
        <v>13</v>
      </c>
    </row>
    <row r="106" spans="2:14" x14ac:dyDescent="0.35">
      <c r="B106">
        <v>104</v>
      </c>
      <c r="C106">
        <f t="shared" si="10"/>
        <v>14</v>
      </c>
      <c r="D106">
        <f t="shared" si="8"/>
        <v>1.571</v>
      </c>
      <c r="E106" t="str">
        <f t="shared" si="9"/>
        <v/>
      </c>
      <c r="F106" s="23">
        <f t="shared" si="11"/>
        <v>1</v>
      </c>
      <c r="H106">
        <f>(H104-I104)/J104</f>
        <v>0.67995660428532678</v>
      </c>
      <c r="I106">
        <f>$H$106-1/$J$104*($K$104*H106*(H106-1)+$L$104*H106*(H106-1)*(H106-2)+$M$104*H106*(H106-1)*(H106-2)*(H106-3)+$N$104*H106*(H106-1)*(H106-2)*(H106-3)*(H106-4))</f>
        <v>0.6893753268360413</v>
      </c>
      <c r="J106">
        <f t="shared" ref="J106:N106" si="16">$H$106-1/$J$104*($K$104*I106*(I106-1)+$L$104*I106*(I106-1)*(I106-2)+$M$104*I106*(I106-1)*(I106-2)*(I106-3)+$N$104*I106*(I106-1)*(I106-2)*(I106-3)*(I106-4))</f>
        <v>0.68921987132395723</v>
      </c>
      <c r="K106">
        <f t="shared" si="16"/>
        <v>0.68922249815373349</v>
      </c>
      <c r="L106">
        <f t="shared" si="16"/>
        <v>0.68922245378354396</v>
      </c>
      <c r="M106">
        <f t="shared" si="16"/>
        <v>0.68922245453301267</v>
      </c>
      <c r="N106">
        <f t="shared" si="16"/>
        <v>0.68922245452035313</v>
      </c>
    </row>
    <row r="107" spans="2:14" x14ac:dyDescent="0.35">
      <c r="B107">
        <v>105</v>
      </c>
      <c r="C107">
        <f t="shared" si="10"/>
        <v>14.125</v>
      </c>
      <c r="D107">
        <f t="shared" si="8"/>
        <v>1.9634</v>
      </c>
      <c r="E107" t="str">
        <f t="shared" si="9"/>
        <v/>
      </c>
      <c r="F107" s="23">
        <f t="shared" si="11"/>
        <v>1</v>
      </c>
      <c r="N107" s="10">
        <f>H97+N106*C1</f>
        <v>12.961152806815043</v>
      </c>
    </row>
    <row r="108" spans="2:14" x14ac:dyDescent="0.35">
      <c r="B108">
        <v>106</v>
      </c>
      <c r="C108">
        <f t="shared" si="10"/>
        <v>14.25</v>
      </c>
      <c r="D108">
        <f t="shared" si="8"/>
        <v>2.3250999999999999</v>
      </c>
      <c r="E108" t="str">
        <f t="shared" si="9"/>
        <v/>
      </c>
      <c r="F108" s="23">
        <f t="shared" si="11"/>
        <v>1</v>
      </c>
    </row>
    <row r="109" spans="2:14" x14ac:dyDescent="0.35">
      <c r="B109">
        <v>107</v>
      </c>
      <c r="C109">
        <f t="shared" si="10"/>
        <v>14.375</v>
      </c>
      <c r="D109">
        <f t="shared" si="8"/>
        <v>2.6505000000000001</v>
      </c>
      <c r="E109" t="str">
        <f t="shared" si="9"/>
        <v/>
      </c>
      <c r="F109" s="23">
        <f t="shared" si="11"/>
        <v>1</v>
      </c>
    </row>
    <row r="110" spans="2:14" x14ac:dyDescent="0.35">
      <c r="B110">
        <v>108</v>
      </c>
      <c r="C110">
        <f t="shared" si="10"/>
        <v>14.5</v>
      </c>
      <c r="D110">
        <f t="shared" si="8"/>
        <v>2.9346000000000001</v>
      </c>
      <c r="E110" t="str">
        <f t="shared" si="9"/>
        <v/>
      </c>
      <c r="F110" s="23">
        <f t="shared" si="11"/>
        <v>1</v>
      </c>
    </row>
    <row r="111" spans="2:14" x14ac:dyDescent="0.35">
      <c r="B111">
        <v>109</v>
      </c>
      <c r="C111">
        <f t="shared" si="10"/>
        <v>14.625</v>
      </c>
      <c r="D111">
        <f t="shared" si="8"/>
        <v>3.1728000000000001</v>
      </c>
      <c r="E111" t="str">
        <f t="shared" si="9"/>
        <v/>
      </c>
      <c r="F111" s="23">
        <f t="shared" si="11"/>
        <v>1</v>
      </c>
    </row>
    <row r="112" spans="2:14" x14ac:dyDescent="0.35">
      <c r="B112">
        <v>110</v>
      </c>
      <c r="C112">
        <f t="shared" si="10"/>
        <v>14.75</v>
      </c>
      <c r="D112">
        <f t="shared" si="8"/>
        <v>3.3616000000000001</v>
      </c>
      <c r="E112" t="str">
        <f t="shared" si="9"/>
        <v/>
      </c>
      <c r="F112" s="23">
        <f t="shared" si="11"/>
        <v>1</v>
      </c>
    </row>
    <row r="113" spans="2:9" x14ac:dyDescent="0.35">
      <c r="B113">
        <v>111</v>
      </c>
      <c r="C113">
        <f t="shared" si="10"/>
        <v>14.875</v>
      </c>
      <c r="D113">
        <f t="shared" si="8"/>
        <v>3.4979</v>
      </c>
      <c r="E113" t="str">
        <f t="shared" si="9"/>
        <v/>
      </c>
      <c r="F113" s="23">
        <f t="shared" si="11"/>
        <v>1</v>
      </c>
    </row>
    <row r="114" spans="2:9" ht="15" thickBot="1" x14ac:dyDescent="0.4">
      <c r="B114">
        <v>112</v>
      </c>
      <c r="C114">
        <f t="shared" si="10"/>
        <v>15</v>
      </c>
      <c r="D114">
        <f t="shared" si="8"/>
        <v>3.5796000000000001</v>
      </c>
      <c r="E114" t="str">
        <f t="shared" si="9"/>
        <v/>
      </c>
      <c r="F114" s="23">
        <f t="shared" si="11"/>
        <v>1</v>
      </c>
    </row>
    <row r="115" spans="2:9" ht="15" thickBot="1" x14ac:dyDescent="0.4">
      <c r="B115">
        <v>113</v>
      </c>
      <c r="C115">
        <f t="shared" si="10"/>
        <v>15.125</v>
      </c>
      <c r="D115">
        <f t="shared" si="8"/>
        <v>3.6055000000000001</v>
      </c>
      <c r="E115" t="str">
        <f t="shared" si="9"/>
        <v/>
      </c>
      <c r="F115" s="25">
        <f t="shared" si="11"/>
        <v>1</v>
      </c>
    </row>
    <row r="116" spans="2:9" x14ac:dyDescent="0.35">
      <c r="B116">
        <v>114</v>
      </c>
      <c r="C116">
        <f t="shared" si="10"/>
        <v>15.25</v>
      </c>
      <c r="D116">
        <f t="shared" si="8"/>
        <v>3.5750999999999999</v>
      </c>
      <c r="E116" t="str">
        <f t="shared" si="9"/>
        <v/>
      </c>
      <c r="F116" s="23">
        <f t="shared" si="11"/>
        <v>-1</v>
      </c>
    </row>
    <row r="117" spans="2:9" x14ac:dyDescent="0.35">
      <c r="B117">
        <v>115</v>
      </c>
      <c r="C117">
        <f t="shared" si="10"/>
        <v>15.375</v>
      </c>
      <c r="D117">
        <f t="shared" si="8"/>
        <v>3.4889000000000001</v>
      </c>
      <c r="E117" t="str">
        <f t="shared" si="9"/>
        <v/>
      </c>
      <c r="F117" s="23">
        <f t="shared" si="11"/>
        <v>-1</v>
      </c>
    </row>
    <row r="118" spans="2:9" x14ac:dyDescent="0.35">
      <c r="B118">
        <v>116</v>
      </c>
      <c r="C118">
        <f t="shared" si="10"/>
        <v>15.5</v>
      </c>
      <c r="D118">
        <f t="shared" si="8"/>
        <v>3.3483000000000001</v>
      </c>
      <c r="E118" t="str">
        <f t="shared" si="9"/>
        <v/>
      </c>
      <c r="F118" s="23">
        <f t="shared" si="11"/>
        <v>-1</v>
      </c>
    </row>
    <row r="119" spans="2:9" x14ac:dyDescent="0.35">
      <c r="B119">
        <v>117</v>
      </c>
      <c r="C119">
        <f t="shared" si="10"/>
        <v>15.625</v>
      </c>
      <c r="D119">
        <f t="shared" si="8"/>
        <v>3.1554000000000002</v>
      </c>
      <c r="E119" t="str">
        <f t="shared" si="9"/>
        <v/>
      </c>
      <c r="F119" s="23">
        <f t="shared" si="11"/>
        <v>-1</v>
      </c>
    </row>
    <row r="120" spans="2:9" x14ac:dyDescent="0.35">
      <c r="B120">
        <v>118</v>
      </c>
      <c r="C120">
        <f t="shared" si="10"/>
        <v>15.75</v>
      </c>
      <c r="D120">
        <f t="shared" si="8"/>
        <v>2.9133</v>
      </c>
      <c r="E120" t="str">
        <f t="shared" si="9"/>
        <v/>
      </c>
      <c r="F120" s="23">
        <f t="shared" si="11"/>
        <v>-1</v>
      </c>
    </row>
    <row r="121" spans="2:9" x14ac:dyDescent="0.35">
      <c r="B121">
        <v>119</v>
      </c>
      <c r="C121">
        <f t="shared" si="10"/>
        <v>15.875</v>
      </c>
      <c r="D121">
        <f t="shared" si="8"/>
        <v>2.6257000000000001</v>
      </c>
      <c r="E121" t="str">
        <f t="shared" si="9"/>
        <v/>
      </c>
      <c r="F121" s="23">
        <f t="shared" si="11"/>
        <v>-1</v>
      </c>
    </row>
    <row r="122" spans="2:9" x14ac:dyDescent="0.35">
      <c r="B122">
        <v>120</v>
      </c>
      <c r="C122">
        <f t="shared" si="10"/>
        <v>16</v>
      </c>
      <c r="D122">
        <f t="shared" si="8"/>
        <v>2.2972000000000001</v>
      </c>
      <c r="E122" t="str">
        <f t="shared" si="9"/>
        <v/>
      </c>
      <c r="F122" s="23">
        <f t="shared" si="11"/>
        <v>-1</v>
      </c>
    </row>
    <row r="123" spans="2:9" x14ac:dyDescent="0.35">
      <c r="B123">
        <v>121</v>
      </c>
      <c r="C123">
        <f t="shared" si="10"/>
        <v>16.125</v>
      </c>
      <c r="D123">
        <f t="shared" si="8"/>
        <v>1.9328000000000001</v>
      </c>
      <c r="E123" t="str">
        <f t="shared" si="9"/>
        <v/>
      </c>
      <c r="F123" s="23">
        <f t="shared" si="11"/>
        <v>-1</v>
      </c>
    </row>
    <row r="124" spans="2:9" x14ac:dyDescent="0.35">
      <c r="B124">
        <v>122</v>
      </c>
      <c r="C124">
        <f t="shared" si="10"/>
        <v>16.25</v>
      </c>
      <c r="D124">
        <f t="shared" si="8"/>
        <v>1.5382</v>
      </c>
      <c r="E124" t="str">
        <f t="shared" si="9"/>
        <v/>
      </c>
      <c r="F124" s="23">
        <f t="shared" si="11"/>
        <v>-1</v>
      </c>
    </row>
    <row r="125" spans="2:9" x14ac:dyDescent="0.35">
      <c r="B125">
        <v>123</v>
      </c>
      <c r="C125">
        <f t="shared" si="10"/>
        <v>16.375</v>
      </c>
      <c r="D125">
        <f t="shared" si="8"/>
        <v>1.1196999999999999</v>
      </c>
      <c r="E125" t="str">
        <f t="shared" si="9"/>
        <v/>
      </c>
      <c r="F125" s="23">
        <f t="shared" si="11"/>
        <v>-1</v>
      </c>
    </row>
    <row r="126" spans="2:9" x14ac:dyDescent="0.35">
      <c r="B126">
        <v>124</v>
      </c>
      <c r="C126">
        <f t="shared" si="10"/>
        <v>16.5</v>
      </c>
      <c r="D126">
        <f t="shared" si="8"/>
        <v>0.68359999999999999</v>
      </c>
      <c r="E126" t="str">
        <f t="shared" si="9"/>
        <v/>
      </c>
      <c r="F126" s="23">
        <f t="shared" si="11"/>
        <v>-1</v>
      </c>
      <c r="H126" t="s">
        <v>14</v>
      </c>
    </row>
    <row r="127" spans="2:9" x14ac:dyDescent="0.35">
      <c r="B127">
        <v>125</v>
      </c>
      <c r="C127">
        <f t="shared" si="10"/>
        <v>16.625</v>
      </c>
      <c r="D127">
        <f t="shared" si="8"/>
        <v>0.2369</v>
      </c>
      <c r="E127" t="str">
        <f t="shared" si="9"/>
        <v/>
      </c>
      <c r="F127" s="23">
        <f t="shared" si="11"/>
        <v>-1</v>
      </c>
    </row>
    <row r="128" spans="2:9" x14ac:dyDescent="0.35">
      <c r="B128">
        <v>126</v>
      </c>
      <c r="C128" s="27">
        <f t="shared" si="10"/>
        <v>16.75</v>
      </c>
      <c r="D128" s="27">
        <f t="shared" si="8"/>
        <v>-0.2135</v>
      </c>
      <c r="E128" t="str">
        <f t="shared" si="9"/>
        <v/>
      </c>
      <c r="F128" s="23">
        <f t="shared" si="11"/>
        <v>-1</v>
      </c>
      <c r="H128" cm="1">
        <f t="array" ref="H128:H133">C128:C133</f>
        <v>16.75</v>
      </c>
      <c r="I128" cm="1">
        <f t="array" ref="I128:I133">D128:D133</f>
        <v>-0.2135</v>
      </c>
    </row>
    <row r="129" spans="2:14" x14ac:dyDescent="0.35">
      <c r="B129">
        <v>127</v>
      </c>
      <c r="C129" s="27">
        <f t="shared" si="10"/>
        <v>16.875</v>
      </c>
      <c r="D129" s="27">
        <f t="shared" si="8"/>
        <v>-0.66049999999999998</v>
      </c>
      <c r="E129" t="str">
        <f t="shared" si="9"/>
        <v/>
      </c>
      <c r="F129" s="23">
        <f t="shared" si="11"/>
        <v>-1</v>
      </c>
      <c r="H129">
        <v>16.875</v>
      </c>
      <c r="I129">
        <v>-0.66049999999999998</v>
      </c>
      <c r="J129">
        <f>I129-I128</f>
        <v>-0.44699999999999995</v>
      </c>
    </row>
    <row r="130" spans="2:14" x14ac:dyDescent="0.35">
      <c r="B130">
        <v>128</v>
      </c>
      <c r="C130" s="27">
        <f t="shared" si="10"/>
        <v>17</v>
      </c>
      <c r="D130" s="27">
        <f t="shared" si="8"/>
        <v>-1.0972999999999999</v>
      </c>
      <c r="E130" t="str">
        <f t="shared" si="9"/>
        <v/>
      </c>
      <c r="F130" s="23">
        <f t="shared" si="11"/>
        <v>-1</v>
      </c>
      <c r="H130">
        <v>17</v>
      </c>
      <c r="I130">
        <v>-1.0972999999999999</v>
      </c>
      <c r="J130">
        <f t="shared" ref="J130:J133" si="17">I130-I129</f>
        <v>-0.43679999999999997</v>
      </c>
      <c r="K130">
        <f t="shared" ref="K130:K133" si="18">J130-J129</f>
        <v>1.0199999999999987E-2</v>
      </c>
    </row>
    <row r="131" spans="2:14" x14ac:dyDescent="0.35">
      <c r="B131">
        <v>129</v>
      </c>
      <c r="C131" s="27">
        <f t="shared" si="10"/>
        <v>17.125</v>
      </c>
      <c r="D131" s="27">
        <f t="shared" ref="D131:D157" si="19">ROUND(2*SIN(C131)-3*COS(C131),4)</f>
        <v>-1.5168999999999999</v>
      </c>
      <c r="E131" t="str">
        <f t="shared" ref="E131:E157" si="20">IF((D131-$F$1)*(D132-$F$1)&lt;0,1,"")</f>
        <v/>
      </c>
      <c r="F131" s="23">
        <f t="shared" si="11"/>
        <v>-1</v>
      </c>
      <c r="H131">
        <v>17.125</v>
      </c>
      <c r="I131">
        <v>-1.5168999999999999</v>
      </c>
      <c r="J131">
        <f t="shared" si="17"/>
        <v>-0.41959999999999997</v>
      </c>
      <c r="K131">
        <f t="shared" si="18"/>
        <v>1.7199999999999993E-2</v>
      </c>
      <c r="L131">
        <f t="shared" ref="L131:L133" si="21">K131-K130</f>
        <v>7.0000000000000062E-3</v>
      </c>
    </row>
    <row r="132" spans="2:14" x14ac:dyDescent="0.35">
      <c r="B132">
        <v>130</v>
      </c>
      <c r="C132" s="27">
        <f t="shared" ref="C132:C157" si="22">ROUND(C131+$C$1,4)</f>
        <v>17.25</v>
      </c>
      <c r="D132" s="27">
        <f t="shared" si="19"/>
        <v>-1.9129</v>
      </c>
      <c r="E132">
        <f t="shared" si="20"/>
        <v>1</v>
      </c>
      <c r="F132" s="23">
        <f t="shared" ref="F132:F157" si="23">IF(D132-D131&gt;0,1,IF(D132-D131&lt;0,-1,0))</f>
        <v>-1</v>
      </c>
      <c r="H132">
        <v>17.25</v>
      </c>
      <c r="I132">
        <v>-1.9129</v>
      </c>
      <c r="J132">
        <f t="shared" si="17"/>
        <v>-0.39600000000000013</v>
      </c>
      <c r="K132">
        <f t="shared" si="18"/>
        <v>2.3599999999999843E-2</v>
      </c>
      <c r="L132">
        <f t="shared" si="21"/>
        <v>6.3999999999998503E-3</v>
      </c>
      <c r="M132">
        <f t="shared" ref="M132:M133" si="24">L132-L131</f>
        <v>-6.0000000000015596E-4</v>
      </c>
    </row>
    <row r="133" spans="2:14" x14ac:dyDescent="0.35">
      <c r="B133">
        <v>131</v>
      </c>
      <c r="C133" s="27">
        <f t="shared" si="22"/>
        <v>17.375</v>
      </c>
      <c r="D133" s="27">
        <f t="shared" si="19"/>
        <v>-2.2789999999999999</v>
      </c>
      <c r="E133" t="str">
        <f t="shared" si="20"/>
        <v/>
      </c>
      <c r="F133" s="23">
        <f t="shared" si="23"/>
        <v>-1</v>
      </c>
      <c r="H133">
        <v>17.375</v>
      </c>
      <c r="I133">
        <v>-2.2789999999999999</v>
      </c>
      <c r="J133">
        <f t="shared" si="17"/>
        <v>-0.36609999999999987</v>
      </c>
      <c r="K133">
        <f t="shared" si="18"/>
        <v>2.990000000000026E-2</v>
      </c>
      <c r="L133">
        <f t="shared" si="21"/>
        <v>6.3000000000004164E-3</v>
      </c>
      <c r="M133">
        <f t="shared" si="24"/>
        <v>-9.9999999999433875E-5</v>
      </c>
      <c r="N133">
        <f t="shared" ref="N133" si="25">M133-M132</f>
        <v>5.0000000000072209E-4</v>
      </c>
    </row>
    <row r="134" spans="2:14" x14ac:dyDescent="0.35">
      <c r="B134">
        <v>132</v>
      </c>
      <c r="C134">
        <f t="shared" si="22"/>
        <v>17.5</v>
      </c>
      <c r="D134">
        <f t="shared" si="19"/>
        <v>-2.6095999999999999</v>
      </c>
      <c r="E134" t="str">
        <f t="shared" si="20"/>
        <v/>
      </c>
      <c r="F134" s="23">
        <f t="shared" si="23"/>
        <v>-1</v>
      </c>
    </row>
    <row r="135" spans="2:14" x14ac:dyDescent="0.35">
      <c r="B135">
        <v>133</v>
      </c>
      <c r="C135">
        <f t="shared" si="22"/>
        <v>17.625</v>
      </c>
      <c r="D135">
        <f t="shared" si="19"/>
        <v>-2.8994</v>
      </c>
      <c r="E135" t="str">
        <f t="shared" si="20"/>
        <v/>
      </c>
      <c r="F135" s="23">
        <f t="shared" si="23"/>
        <v>-1</v>
      </c>
      <c r="H135">
        <f>F1</f>
        <v>-2</v>
      </c>
      <c r="I135">
        <f>I133</f>
        <v>-2.2789999999999999</v>
      </c>
      <c r="J135">
        <f>J133</f>
        <v>-0.36609999999999987</v>
      </c>
      <c r="K135">
        <f>K133/2</f>
        <v>1.495000000000013E-2</v>
      </c>
      <c r="L135">
        <f>L133/2/3</f>
        <v>1.0500000000000693E-3</v>
      </c>
      <c r="M135">
        <f>M133/2/3/4</f>
        <v>-4.1666666666430778E-6</v>
      </c>
      <c r="N135">
        <f>N133/2/3/4/5</f>
        <v>4.1666666666726842E-6</v>
      </c>
    </row>
    <row r="136" spans="2:14" x14ac:dyDescent="0.35">
      <c r="B136">
        <v>134</v>
      </c>
      <c r="C136">
        <f t="shared" si="22"/>
        <v>17.75</v>
      </c>
      <c r="D136">
        <f t="shared" si="19"/>
        <v>-3.1440000000000001</v>
      </c>
      <c r="E136" t="str">
        <f t="shared" si="20"/>
        <v/>
      </c>
      <c r="F136" s="23">
        <f t="shared" si="23"/>
        <v>-1</v>
      </c>
      <c r="H136" t="s">
        <v>12</v>
      </c>
      <c r="I136" t="s">
        <v>13</v>
      </c>
    </row>
    <row r="137" spans="2:14" x14ac:dyDescent="0.35">
      <c r="B137">
        <v>135</v>
      </c>
      <c r="C137">
        <f t="shared" si="22"/>
        <v>17.875</v>
      </c>
      <c r="D137">
        <f t="shared" si="19"/>
        <v>-3.3395000000000001</v>
      </c>
      <c r="E137" t="str">
        <f t="shared" si="20"/>
        <v/>
      </c>
      <c r="F137" s="23">
        <f t="shared" si="23"/>
        <v>-1</v>
      </c>
      <c r="H137">
        <f>(H135-I135)/J135</f>
        <v>-0.76208686151324778</v>
      </c>
      <c r="I137">
        <f>$H$137-1/$J$135*($K$135*H137*(H137+1)+$L$135*H137*(H137+1)*(H137+2)+$M$135*H137*(H137+1)*(H137+2)*(H137+3)+$N$135*H137*(H137+1)*(H137+2)*(H137+3)*(H137+4))</f>
        <v>-0.77014734847235455</v>
      </c>
      <c r="J137">
        <f t="shared" ref="J137:M137" si="26">$H$137-1/$J$135*($K$135*I137*(I137+1)+$L$135*I137*(I137+1)*(I137+2)+$M$135*I137*(I137+1)*(I137+2)*(I137+3)+$N$135*I137*(I137+1)*(I137+2)*(I137+3)*(I137+4))</f>
        <v>-0.76995236282024071</v>
      </c>
      <c r="K137">
        <f t="shared" si="26"/>
        <v>-0.76995714527228054</v>
      </c>
      <c r="L137">
        <f t="shared" si="26"/>
        <v>-0.76995702801106425</v>
      </c>
      <c r="M137">
        <f t="shared" si="26"/>
        <v>-0.76995703088622214</v>
      </c>
      <c r="N137">
        <f>$H$137-1/$J$135*($K$135*M137*(M137+1)+$L$135*M137*(M137+1)*(M137+2)+$M$135*M137*(M137+1)*(M137+2)*(M137+3)+$N$135*M137*(M137+1)*(M137+2)*(M137+3)*(M137+4))</f>
        <v>-0.76995703081572542</v>
      </c>
    </row>
    <row r="138" spans="2:14" x14ac:dyDescent="0.35">
      <c r="B138">
        <v>136</v>
      </c>
      <c r="C138">
        <f t="shared" si="22"/>
        <v>18</v>
      </c>
      <c r="D138">
        <f t="shared" si="19"/>
        <v>-3.4828999999999999</v>
      </c>
      <c r="E138" t="str">
        <f t="shared" si="20"/>
        <v/>
      </c>
      <c r="F138" s="23">
        <f t="shared" si="23"/>
        <v>-1</v>
      </c>
      <c r="N138" s="10">
        <f>H133+N137*C1</f>
        <v>17.278755371148034</v>
      </c>
    </row>
    <row r="139" spans="2:14" ht="15" thickBot="1" x14ac:dyDescent="0.4">
      <c r="B139">
        <v>137</v>
      </c>
      <c r="C139">
        <f t="shared" si="22"/>
        <v>18.125</v>
      </c>
      <c r="D139">
        <f t="shared" si="19"/>
        <v>-3.5720000000000001</v>
      </c>
      <c r="E139" t="str">
        <f t="shared" si="20"/>
        <v/>
      </c>
      <c r="F139" s="23">
        <f t="shared" si="23"/>
        <v>-1</v>
      </c>
    </row>
    <row r="140" spans="2:14" ht="15" thickBot="1" x14ac:dyDescent="0.4">
      <c r="B140">
        <v>138</v>
      </c>
      <c r="C140">
        <f t="shared" si="22"/>
        <v>18.25</v>
      </c>
      <c r="D140">
        <f t="shared" si="19"/>
        <v>-3.6053000000000002</v>
      </c>
      <c r="E140" t="str">
        <f t="shared" si="20"/>
        <v/>
      </c>
      <c r="F140" s="25">
        <f t="shared" si="23"/>
        <v>-1</v>
      </c>
    </row>
    <row r="141" spans="2:14" x14ac:dyDescent="0.35">
      <c r="B141">
        <v>139</v>
      </c>
      <c r="C141">
        <f t="shared" si="22"/>
        <v>18.375</v>
      </c>
      <c r="D141">
        <f t="shared" si="19"/>
        <v>-3.5823999999999998</v>
      </c>
      <c r="E141" t="str">
        <f t="shared" si="20"/>
        <v/>
      </c>
      <c r="F141" s="23">
        <f t="shared" si="23"/>
        <v>1</v>
      </c>
    </row>
    <row r="142" spans="2:14" x14ac:dyDescent="0.35">
      <c r="B142">
        <v>140</v>
      </c>
      <c r="C142">
        <f t="shared" si="22"/>
        <v>18.5</v>
      </c>
      <c r="D142">
        <f t="shared" si="19"/>
        <v>-3.5034999999999998</v>
      </c>
      <c r="E142" t="str">
        <f t="shared" si="20"/>
        <v/>
      </c>
      <c r="F142" s="23">
        <f t="shared" si="23"/>
        <v>1</v>
      </c>
    </row>
    <row r="143" spans="2:14" x14ac:dyDescent="0.35">
      <c r="B143">
        <v>141</v>
      </c>
      <c r="C143">
        <f t="shared" si="22"/>
        <v>18.625</v>
      </c>
      <c r="D143">
        <f t="shared" si="19"/>
        <v>-3.37</v>
      </c>
      <c r="E143" t="str">
        <f t="shared" si="20"/>
        <v/>
      </c>
      <c r="F143" s="23">
        <f t="shared" si="23"/>
        <v>1</v>
      </c>
    </row>
    <row r="144" spans="2:14" x14ac:dyDescent="0.35">
      <c r="B144">
        <v>142</v>
      </c>
      <c r="C144">
        <f t="shared" si="22"/>
        <v>18.75</v>
      </c>
      <c r="D144">
        <f t="shared" si="19"/>
        <v>-3.1839</v>
      </c>
      <c r="E144" t="str">
        <f t="shared" si="20"/>
        <v/>
      </c>
      <c r="F144" s="23">
        <f t="shared" si="23"/>
        <v>1</v>
      </c>
    </row>
    <row r="145" spans="2:6" x14ac:dyDescent="0.35">
      <c r="B145">
        <v>143</v>
      </c>
      <c r="C145">
        <f t="shared" si="22"/>
        <v>18.875</v>
      </c>
      <c r="D145">
        <f t="shared" si="19"/>
        <v>-2.9481000000000002</v>
      </c>
      <c r="E145" t="str">
        <f t="shared" si="20"/>
        <v/>
      </c>
      <c r="F145" s="23">
        <f t="shared" si="23"/>
        <v>1</v>
      </c>
    </row>
    <row r="146" spans="2:6" x14ac:dyDescent="0.35">
      <c r="B146">
        <v>144</v>
      </c>
      <c r="C146">
        <f t="shared" si="22"/>
        <v>19</v>
      </c>
      <c r="D146">
        <f t="shared" si="19"/>
        <v>-2.6663999999999999</v>
      </c>
      <c r="E146" t="str">
        <f t="shared" si="20"/>
        <v/>
      </c>
      <c r="F146" s="23">
        <f t="shared" si="23"/>
        <v>1</v>
      </c>
    </row>
    <row r="147" spans="2:6" x14ac:dyDescent="0.35">
      <c r="B147">
        <v>145</v>
      </c>
      <c r="C147">
        <f t="shared" si="22"/>
        <v>19.125</v>
      </c>
      <c r="D147">
        <f t="shared" si="19"/>
        <v>-2.343</v>
      </c>
      <c r="E147">
        <f t="shared" si="20"/>
        <v>1</v>
      </c>
      <c r="F147" s="23">
        <f t="shared" si="23"/>
        <v>1</v>
      </c>
    </row>
    <row r="148" spans="2:6" x14ac:dyDescent="0.35">
      <c r="B148">
        <v>146</v>
      </c>
      <c r="C148">
        <f t="shared" si="22"/>
        <v>19.25</v>
      </c>
      <c r="D148">
        <f t="shared" si="19"/>
        <v>-1.9830000000000001</v>
      </c>
      <c r="E148" t="str">
        <f t="shared" si="20"/>
        <v/>
      </c>
      <c r="F148" s="23">
        <f t="shared" si="23"/>
        <v>1</v>
      </c>
    </row>
    <row r="149" spans="2:6" x14ac:dyDescent="0.35">
      <c r="B149">
        <v>147</v>
      </c>
      <c r="C149">
        <f t="shared" si="22"/>
        <v>19.375</v>
      </c>
      <c r="D149">
        <f t="shared" si="19"/>
        <v>-1.5921000000000001</v>
      </c>
      <c r="E149" t="str">
        <f t="shared" si="20"/>
        <v/>
      </c>
      <c r="F149" s="23">
        <f t="shared" si="23"/>
        <v>1</v>
      </c>
    </row>
    <row r="150" spans="2:6" x14ac:dyDescent="0.35">
      <c r="B150">
        <v>148</v>
      </c>
      <c r="C150">
        <f t="shared" si="22"/>
        <v>19.5</v>
      </c>
      <c r="D150">
        <f t="shared" si="19"/>
        <v>-1.1763999999999999</v>
      </c>
      <c r="E150" t="str">
        <f t="shared" si="20"/>
        <v/>
      </c>
      <c r="F150" s="23">
        <f t="shared" si="23"/>
        <v>1</v>
      </c>
    </row>
    <row r="151" spans="2:6" x14ac:dyDescent="0.35">
      <c r="B151">
        <v>149</v>
      </c>
      <c r="C151">
        <f t="shared" si="22"/>
        <v>19.625</v>
      </c>
      <c r="D151">
        <f t="shared" si="19"/>
        <v>-0.74229999999999996</v>
      </c>
      <c r="E151" t="str">
        <f t="shared" si="20"/>
        <v/>
      </c>
      <c r="F151" s="23">
        <f t="shared" si="23"/>
        <v>1</v>
      </c>
    </row>
    <row r="152" spans="2:6" x14ac:dyDescent="0.35">
      <c r="B152">
        <v>150</v>
      </c>
      <c r="C152">
        <f t="shared" si="22"/>
        <v>19.75</v>
      </c>
      <c r="D152">
        <f t="shared" si="19"/>
        <v>-0.29659999999999997</v>
      </c>
      <c r="E152" t="str">
        <f t="shared" si="20"/>
        <v/>
      </c>
      <c r="F152" s="23">
        <f t="shared" si="23"/>
        <v>1</v>
      </c>
    </row>
    <row r="153" spans="2:6" x14ac:dyDescent="0.35">
      <c r="B153">
        <v>151</v>
      </c>
      <c r="C153">
        <f t="shared" si="22"/>
        <v>19.875</v>
      </c>
      <c r="D153">
        <f t="shared" si="19"/>
        <v>0.1537</v>
      </c>
      <c r="E153" t="str">
        <f t="shared" si="20"/>
        <v/>
      </c>
      <c r="F153" s="23">
        <f t="shared" si="23"/>
        <v>1</v>
      </c>
    </row>
    <row r="154" spans="2:6" x14ac:dyDescent="0.35">
      <c r="B154">
        <v>152</v>
      </c>
      <c r="C154">
        <f t="shared" si="22"/>
        <v>20</v>
      </c>
      <c r="D154">
        <f t="shared" si="19"/>
        <v>0.60160000000000002</v>
      </c>
      <c r="E154" t="str">
        <f t="shared" si="20"/>
        <v/>
      </c>
      <c r="F154" s="23">
        <f t="shared" si="23"/>
        <v>1</v>
      </c>
    </row>
    <row r="155" spans="2:6" x14ac:dyDescent="0.35">
      <c r="B155">
        <v>153</v>
      </c>
      <c r="C155">
        <f t="shared" si="22"/>
        <v>20.125</v>
      </c>
      <c r="D155">
        <f t="shared" si="19"/>
        <v>1.0402</v>
      </c>
      <c r="E155" t="str">
        <f t="shared" si="20"/>
        <v/>
      </c>
      <c r="F155" s="23">
        <f t="shared" si="23"/>
        <v>1</v>
      </c>
    </row>
    <row r="156" spans="2:6" x14ac:dyDescent="0.35">
      <c r="B156">
        <v>154</v>
      </c>
      <c r="C156">
        <f t="shared" si="22"/>
        <v>20.25</v>
      </c>
      <c r="D156">
        <f t="shared" si="19"/>
        <v>1.4624999999999999</v>
      </c>
      <c r="E156" t="str">
        <f t="shared" si="20"/>
        <v/>
      </c>
      <c r="F156" s="23">
        <f t="shared" si="23"/>
        <v>1</v>
      </c>
    </row>
    <row r="157" spans="2:6" ht="15" thickBot="1" x14ac:dyDescent="0.4">
      <c r="B157">
        <v>155</v>
      </c>
      <c r="C157">
        <f t="shared" si="22"/>
        <v>20.375</v>
      </c>
      <c r="D157">
        <f t="shared" si="19"/>
        <v>1.8619000000000001</v>
      </c>
      <c r="E157" t="str">
        <f t="shared" si="20"/>
        <v/>
      </c>
      <c r="F157" s="24">
        <f t="shared" si="23"/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231A-3733-4D64-8770-1D8F28CD8ED4}">
  <dimension ref="B1:AE202"/>
  <sheetViews>
    <sheetView tabSelected="1" zoomScale="114" workbookViewId="0">
      <selection activeCell="H34" sqref="H34"/>
    </sheetView>
  </sheetViews>
  <sheetFormatPr defaultRowHeight="14.5" x14ac:dyDescent="0.35"/>
  <cols>
    <col min="2" max="4" width="9" bestFit="1" customWidth="1"/>
    <col min="7" max="7" width="24" customWidth="1"/>
    <col min="8" max="8" width="9.453125" customWidth="1"/>
    <col min="9" max="9" width="19" bestFit="1" customWidth="1"/>
    <col min="10" max="11" width="18" bestFit="1" customWidth="1"/>
    <col min="12" max="12" width="19" bestFit="1" customWidth="1"/>
    <col min="13" max="13" width="18" bestFit="1" customWidth="1"/>
    <col min="14" max="14" width="19" bestFit="1" customWidth="1"/>
    <col min="15" max="15" width="13.453125" bestFit="1" customWidth="1"/>
    <col min="16" max="16" width="18" bestFit="1" customWidth="1"/>
    <col min="17" max="17" width="19" bestFit="1" customWidth="1"/>
    <col min="20" max="21" width="15.26953125" bestFit="1" customWidth="1"/>
    <col min="22" max="22" width="14.54296875" bestFit="1" customWidth="1"/>
    <col min="23" max="24" width="12.81640625" bestFit="1" customWidth="1"/>
    <col min="25" max="25" width="13.54296875" bestFit="1" customWidth="1"/>
  </cols>
  <sheetData>
    <row r="1" spans="2:31" ht="15" thickBot="1" x14ac:dyDescent="0.4">
      <c r="B1" t="s">
        <v>0</v>
      </c>
      <c r="C1">
        <v>0.11799999999999999</v>
      </c>
      <c r="D1" s="33" t="s">
        <v>1</v>
      </c>
      <c r="F1" s="14">
        <v>3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2:31" x14ac:dyDescent="0.35">
      <c r="B2">
        <v>0</v>
      </c>
      <c r="C2">
        <v>1</v>
      </c>
      <c r="D2">
        <f>ROUND(POWER(C2,1/4)+2*SIN(C2)-3*COS(C2),4)</f>
        <v>1.0620000000000001</v>
      </c>
      <c r="E2" s="28"/>
      <c r="F2" s="14" t="str">
        <f>IF((D2-$F$1)*(D3-$F$1)&lt;0,1,"")</f>
        <v/>
      </c>
      <c r="G2" s="32" t="s">
        <v>15</v>
      </c>
      <c r="I2" s="14"/>
      <c r="J2" s="14" t="s">
        <v>5</v>
      </c>
      <c r="K2" s="14" t="s">
        <v>6</v>
      </c>
      <c r="L2" s="14" t="s">
        <v>7</v>
      </c>
      <c r="M2" s="14" t="s">
        <v>8</v>
      </c>
      <c r="N2" s="14" t="s">
        <v>9</v>
      </c>
      <c r="O2" s="14" t="s">
        <v>18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2:31" x14ac:dyDescent="0.35">
      <c r="B3">
        <v>1</v>
      </c>
      <c r="C3">
        <f>ROUND(C2+$C$1,4)</f>
        <v>1.1180000000000001</v>
      </c>
      <c r="D3">
        <f t="shared" ref="D3:D66" si="0">ROUND(POWER(C3,1/4)+2*SIN(C3)-3*COS(C3),4)</f>
        <v>1.5143</v>
      </c>
      <c r="E3" s="29">
        <f>IF(D3-D2&gt;0,1,IF(D3-D2&lt;0,-1,0))</f>
        <v>1</v>
      </c>
      <c r="F3" s="14" t="str">
        <f t="shared" ref="F3:F66" si="1">IF((D3-$F$1)*(D4-$F$1)&lt;0,1,"")</f>
        <v/>
      </c>
      <c r="G3" s="14"/>
      <c r="H3" s="14" cm="1">
        <f t="array" ref="H3:H9">D3:D9</f>
        <v>1.5143</v>
      </c>
      <c r="I3" s="14" cm="1">
        <f t="array" ref="I3:I9">C3:C9</f>
        <v>1.1180000000000001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2:31" x14ac:dyDescent="0.35">
      <c r="B4">
        <v>2</v>
      </c>
      <c r="C4">
        <f t="shared" ref="C4:C67" si="2">ROUND(C3+$C$1,4)</f>
        <v>1.236</v>
      </c>
      <c r="D4">
        <f t="shared" si="0"/>
        <v>1.9576</v>
      </c>
      <c r="E4" s="29">
        <f t="shared" ref="E4:E67" si="3">IF(D4-D3&gt;0,1,IF(D4-D3&lt;0,-1,0))</f>
        <v>1</v>
      </c>
      <c r="F4" s="14" t="str">
        <f t="shared" si="1"/>
        <v/>
      </c>
      <c r="G4" s="14"/>
      <c r="H4" s="14">
        <v>1.9576</v>
      </c>
      <c r="I4" s="14">
        <v>1.236</v>
      </c>
      <c r="J4" s="14">
        <f>(I4-I3)/(H4-H3)</f>
        <v>0.2661854274757498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2:31" x14ac:dyDescent="0.35">
      <c r="B5">
        <v>3</v>
      </c>
      <c r="C5">
        <f t="shared" si="2"/>
        <v>1.3540000000000001</v>
      </c>
      <c r="D5">
        <f t="shared" si="0"/>
        <v>2.3866000000000001</v>
      </c>
      <c r="E5" s="29">
        <f t="shared" si="3"/>
        <v>1</v>
      </c>
      <c r="F5" s="14" t="str">
        <f t="shared" si="1"/>
        <v/>
      </c>
      <c r="G5" s="14"/>
      <c r="H5" s="14">
        <v>2.3866000000000001</v>
      </c>
      <c r="I5" s="14">
        <v>1.3540000000000001</v>
      </c>
      <c r="J5" s="14">
        <f t="shared" ref="J5:J9" si="4">(I5-I4)/(H5-H4)</f>
        <v>0.27505827505827529</v>
      </c>
      <c r="K5" s="14">
        <f>(J5-J4)/(H5-H3)</f>
        <v>1.0171784457784579E-2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2:31" x14ac:dyDescent="0.35">
      <c r="B6">
        <v>4</v>
      </c>
      <c r="C6">
        <f t="shared" si="2"/>
        <v>1.472</v>
      </c>
      <c r="D6">
        <f t="shared" si="0"/>
        <v>2.7957999999999998</v>
      </c>
      <c r="E6" s="29">
        <f t="shared" si="3"/>
        <v>1</v>
      </c>
      <c r="F6" s="14">
        <f t="shared" si="1"/>
        <v>1</v>
      </c>
      <c r="G6" s="14"/>
      <c r="H6" s="14">
        <v>2.7957999999999998</v>
      </c>
      <c r="I6" s="14">
        <v>1.472</v>
      </c>
      <c r="J6" s="14">
        <f t="shared" si="4"/>
        <v>0.28836754643206242</v>
      </c>
      <c r="K6" s="14">
        <f>(J6-J5)/(H6-H4)</f>
        <v>1.5878395816973426E-2</v>
      </c>
      <c r="L6" s="14">
        <f>(K6-K5)/(H6-H3)</f>
        <v>4.4530716809901274E-3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2:31" x14ac:dyDescent="0.35">
      <c r="B7">
        <v>5</v>
      </c>
      <c r="C7">
        <f t="shared" si="2"/>
        <v>1.59</v>
      </c>
      <c r="D7">
        <f t="shared" si="0"/>
        <v>3.1802000000000001</v>
      </c>
      <c r="E7" s="29">
        <f t="shared" si="3"/>
        <v>1</v>
      </c>
      <c r="F7" s="14" t="str">
        <f t="shared" si="1"/>
        <v/>
      </c>
      <c r="G7" s="14"/>
      <c r="H7" s="14">
        <v>3.1802000000000001</v>
      </c>
      <c r="I7" s="14">
        <v>1.59</v>
      </c>
      <c r="J7" s="14">
        <f t="shared" si="4"/>
        <v>0.30697190426638921</v>
      </c>
      <c r="K7" s="14">
        <f t="shared" ref="K7:K9" si="5">(J7-J6)/(H7-H5)</f>
        <v>2.3442991222690005E-2</v>
      </c>
      <c r="L7" s="14">
        <f t="shared" ref="L7:L9" si="6">(K7-K6)/(H7-H4)</f>
        <v>6.1873019840639441E-3</v>
      </c>
      <c r="M7" s="14">
        <f>(L7-L6)/(H7-H3)</f>
        <v>1.0410170496871461E-3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2:31" x14ac:dyDescent="0.35">
      <c r="B8">
        <v>6</v>
      </c>
      <c r="C8">
        <f t="shared" si="2"/>
        <v>1.708</v>
      </c>
      <c r="D8">
        <f t="shared" si="0"/>
        <v>3.5347</v>
      </c>
      <c r="E8" s="29">
        <f t="shared" si="3"/>
        <v>1</v>
      </c>
      <c r="F8" s="14" t="str">
        <f t="shared" si="1"/>
        <v/>
      </c>
      <c r="G8" s="14"/>
      <c r="H8" s="14">
        <v>3.5347</v>
      </c>
      <c r="I8" s="14">
        <v>1.708</v>
      </c>
      <c r="J8" s="14">
        <f t="shared" si="4"/>
        <v>0.33286318758815214</v>
      </c>
      <c r="K8" s="14">
        <f t="shared" si="5"/>
        <v>3.5040307648887443E-2</v>
      </c>
      <c r="L8" s="14">
        <f t="shared" si="6"/>
        <v>1.0101312103647278E-2</v>
      </c>
      <c r="M8" s="14">
        <f t="shared" ref="M8:M9" si="7">(L8-L7)/(H8-H4)</f>
        <v>2.481776754538922E-3</v>
      </c>
      <c r="N8" s="14">
        <f>(M8-M7)/(H8-H3)</f>
        <v>7.1310616949701834E-4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2:31" x14ac:dyDescent="0.35">
      <c r="B9">
        <v>7</v>
      </c>
      <c r="C9">
        <f t="shared" si="2"/>
        <v>1.8260000000000001</v>
      </c>
      <c r="D9">
        <f t="shared" si="0"/>
        <v>3.855</v>
      </c>
      <c r="E9" s="29">
        <f t="shared" si="3"/>
        <v>1</v>
      </c>
      <c r="F9" s="14" t="str">
        <f t="shared" si="1"/>
        <v/>
      </c>
      <c r="G9" s="14"/>
      <c r="H9" s="14">
        <v>3.855</v>
      </c>
      <c r="I9" s="14">
        <v>1.8260000000000001</v>
      </c>
      <c r="J9" s="14">
        <f t="shared" si="4"/>
        <v>0.36840462066812391</v>
      </c>
      <c r="K9" s="14">
        <f t="shared" si="5"/>
        <v>5.266958073499077E-2</v>
      </c>
      <c r="L9" s="14">
        <f t="shared" si="6"/>
        <v>1.6643951176457065E-2</v>
      </c>
      <c r="M9" s="14">
        <f t="shared" si="7"/>
        <v>4.4556245388244261E-3</v>
      </c>
      <c r="N9" s="14">
        <f>(M9-M8)/(H9-H4)</f>
        <v>1.0402908107333742E-3</v>
      </c>
      <c r="O9" s="14">
        <f>(N9-N8)/(H9-H3)</f>
        <v>1.3978068152106459E-4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2:31" x14ac:dyDescent="0.35">
      <c r="B10">
        <v>8</v>
      </c>
      <c r="C10">
        <f t="shared" si="2"/>
        <v>1.944</v>
      </c>
      <c r="D10">
        <f t="shared" si="0"/>
        <v>4.1368999999999998</v>
      </c>
      <c r="E10" s="29">
        <f t="shared" si="3"/>
        <v>1</v>
      </c>
      <c r="F10" s="14" t="str">
        <f t="shared" si="1"/>
        <v/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2:31" x14ac:dyDescent="0.35">
      <c r="B11">
        <v>9</v>
      </c>
      <c r="C11">
        <f t="shared" si="2"/>
        <v>2.0619999999999998</v>
      </c>
      <c r="D11">
        <f t="shared" si="0"/>
        <v>4.3769</v>
      </c>
      <c r="E11" s="29">
        <f t="shared" si="3"/>
        <v>1</v>
      </c>
      <c r="F11" s="14" t="str">
        <f t="shared" si="1"/>
        <v/>
      </c>
      <c r="G11" s="14"/>
      <c r="H11" s="14"/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2:31" x14ac:dyDescent="0.35">
      <c r="B12">
        <v>10</v>
      </c>
      <c r="C12">
        <f t="shared" si="2"/>
        <v>2.1800000000000002</v>
      </c>
      <c r="D12">
        <f t="shared" si="0"/>
        <v>4.5720000000000001</v>
      </c>
      <c r="E12" s="29">
        <f t="shared" si="3"/>
        <v>1</v>
      </c>
      <c r="F12" s="14" t="str">
        <f t="shared" si="1"/>
        <v/>
      </c>
      <c r="G12" s="14"/>
      <c r="H12" s="14" cm="1">
        <f t="array" ref="H12:H17">H3:H8</f>
        <v>1.5143</v>
      </c>
      <c r="I12" s="14" cm="1">
        <f t="array" ref="I12:O12">J11:P11-H12*I11:O11</f>
        <v>0</v>
      </c>
      <c r="J12" s="14">
        <v>0</v>
      </c>
      <c r="K12" s="14">
        <v>0</v>
      </c>
      <c r="L12" s="14">
        <v>0</v>
      </c>
      <c r="M12" s="14">
        <v>0</v>
      </c>
      <c r="N12" s="14">
        <v>1</v>
      </c>
      <c r="O12" s="14">
        <v>-1.5143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2:31" x14ac:dyDescent="0.35">
      <c r="B13">
        <v>11</v>
      </c>
      <c r="C13">
        <f t="shared" si="2"/>
        <v>2.298</v>
      </c>
      <c r="D13">
        <f t="shared" si="0"/>
        <v>4.7195999999999998</v>
      </c>
      <c r="E13" s="29">
        <f t="shared" si="3"/>
        <v>1</v>
      </c>
      <c r="F13" s="14" t="str">
        <f t="shared" si="1"/>
        <v/>
      </c>
      <c r="G13" s="14"/>
      <c r="H13" s="14">
        <v>1.9576</v>
      </c>
      <c r="I13" s="14" cm="1">
        <f t="array" ref="I13:O13">J12:P12-H13*I12:O12</f>
        <v>0</v>
      </c>
      <c r="J13" s="14">
        <v>0</v>
      </c>
      <c r="K13" s="14">
        <v>0</v>
      </c>
      <c r="L13" s="14">
        <v>0</v>
      </c>
      <c r="M13" s="14">
        <v>1</v>
      </c>
      <c r="N13" s="14">
        <v>-3.4718999999999998</v>
      </c>
      <c r="O13" s="14">
        <v>2.9643936800000001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2:31" ht="15" thickBot="1" x14ac:dyDescent="0.4">
      <c r="B14">
        <v>12</v>
      </c>
      <c r="C14">
        <f t="shared" si="2"/>
        <v>2.4159999999999999</v>
      </c>
      <c r="D14">
        <f t="shared" si="0"/>
        <v>4.8182</v>
      </c>
      <c r="E14" s="29">
        <f t="shared" si="3"/>
        <v>1</v>
      </c>
      <c r="F14" s="14" t="str">
        <f t="shared" si="1"/>
        <v/>
      </c>
      <c r="G14" s="14"/>
      <c r="H14" s="14">
        <v>2.3866000000000001</v>
      </c>
      <c r="I14" s="14" cm="1">
        <f t="array" ref="I14:O14">J13:P13-H14*I13:O13</f>
        <v>0</v>
      </c>
      <c r="J14" s="14">
        <v>0</v>
      </c>
      <c r="K14" s="14">
        <v>0</v>
      </c>
      <c r="L14" s="14">
        <v>1</v>
      </c>
      <c r="M14" s="14">
        <v>-5.8584999999999994</v>
      </c>
      <c r="N14" s="14">
        <v>11.25043022</v>
      </c>
      <c r="O14" s="14">
        <v>-7.0748219566880008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2:31" ht="15" thickBot="1" x14ac:dyDescent="0.4">
      <c r="B15">
        <v>13</v>
      </c>
      <c r="C15">
        <f t="shared" si="2"/>
        <v>2.5339999999999998</v>
      </c>
      <c r="D15">
        <f t="shared" si="0"/>
        <v>4.8665000000000003</v>
      </c>
      <c r="E15" s="31">
        <f t="shared" si="3"/>
        <v>1</v>
      </c>
      <c r="F15" s="14" t="str">
        <f t="shared" si="1"/>
        <v/>
      </c>
      <c r="G15" s="14"/>
      <c r="H15" s="14">
        <v>2.7957999999999998</v>
      </c>
      <c r="I15" s="14" cm="1">
        <f t="array" ref="I15:O15">J14:P14-H15*I14:O14</f>
        <v>0</v>
      </c>
      <c r="J15" s="14">
        <v>0</v>
      </c>
      <c r="K15" s="14">
        <v>1</v>
      </c>
      <c r="L15" s="14">
        <v>-8.6542999999999992</v>
      </c>
      <c r="M15" s="14">
        <v>27.62962452</v>
      </c>
      <c r="N15" s="14">
        <v>-38.528774765763998</v>
      </c>
      <c r="O15" s="14">
        <v>19.779787226508311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2:31" x14ac:dyDescent="0.35">
      <c r="B16">
        <v>14</v>
      </c>
      <c r="C16">
        <f t="shared" si="2"/>
        <v>2.6520000000000001</v>
      </c>
      <c r="D16">
        <f t="shared" si="0"/>
        <v>4.8642000000000003</v>
      </c>
      <c r="E16" s="29">
        <f t="shared" si="3"/>
        <v>-1</v>
      </c>
      <c r="F16" s="14" t="str">
        <f t="shared" si="1"/>
        <v/>
      </c>
      <c r="G16" s="14"/>
      <c r="H16" s="14">
        <v>3.1802000000000001</v>
      </c>
      <c r="I16" s="14" cm="1">
        <f t="array" ref="I16:O16">J15:P15-H16*I15:O15</f>
        <v>0</v>
      </c>
      <c r="J16" s="14">
        <v>1</v>
      </c>
      <c r="K16" s="14">
        <v>-11.834499999999998</v>
      </c>
      <c r="L16" s="14">
        <v>55.152029380000002</v>
      </c>
      <c r="M16" s="14">
        <v>-126.396506664268</v>
      </c>
      <c r="N16" s="14">
        <v>142.30899673659098</v>
      </c>
      <c r="O16" s="14">
        <v>-62.903679337741735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2:31" x14ac:dyDescent="0.35">
      <c r="B17">
        <v>15</v>
      </c>
      <c r="C17">
        <f t="shared" si="2"/>
        <v>2.77</v>
      </c>
      <c r="D17">
        <f t="shared" si="0"/>
        <v>4.8114999999999997</v>
      </c>
      <c r="E17" s="29">
        <f t="shared" si="3"/>
        <v>-1</v>
      </c>
      <c r="F17" s="14" t="str">
        <f t="shared" si="1"/>
        <v/>
      </c>
      <c r="G17" s="14"/>
      <c r="H17" s="14">
        <v>3.5347</v>
      </c>
      <c r="I17" s="14" cm="1">
        <f t="array" ref="I17:O17">J16:P16-H17*I16:O16</f>
        <v>1</v>
      </c>
      <c r="J17" s="14">
        <v>-15.369199999999999</v>
      </c>
      <c r="K17" s="14">
        <v>96.983436530000006</v>
      </c>
      <c r="L17" s="14">
        <v>-321.34238491375402</v>
      </c>
      <c r="M17" s="14">
        <v>589.08272884277903</v>
      </c>
      <c r="N17" s="14">
        <v>-565.92329010256992</v>
      </c>
      <c r="O17" s="14">
        <v>222.34563535511572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2:31" x14ac:dyDescent="0.35">
      <c r="B18">
        <v>16</v>
      </c>
      <c r="C18">
        <f t="shared" si="2"/>
        <v>2.8879999999999999</v>
      </c>
      <c r="D18">
        <f t="shared" si="0"/>
        <v>4.7093999999999996</v>
      </c>
      <c r="E18" s="29">
        <f t="shared" si="3"/>
        <v>-1</v>
      </c>
      <c r="F18" s="14" t="str">
        <f t="shared" si="1"/>
        <v/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2:31" x14ac:dyDescent="0.35">
      <c r="B19">
        <v>17</v>
      </c>
      <c r="C19">
        <f t="shared" si="2"/>
        <v>3.0059999999999998</v>
      </c>
      <c r="D19">
        <f t="shared" si="0"/>
        <v>4.5595999999999997</v>
      </c>
      <c r="E19" s="29">
        <f t="shared" si="3"/>
        <v>-1</v>
      </c>
      <c r="F19" s="14" t="str">
        <f t="shared" si="1"/>
        <v/>
      </c>
      <c r="G19" s="14"/>
      <c r="H19" s="14"/>
      <c r="I19" s="14">
        <f>I3</f>
        <v>1.1180000000000001</v>
      </c>
      <c r="J19" s="14">
        <f>J4</f>
        <v>0.2661854274757498</v>
      </c>
      <c r="K19" s="14">
        <f>K5</f>
        <v>1.0171784457784579E-2</v>
      </c>
      <c r="L19" s="14">
        <f>L6</f>
        <v>4.4530716809901274E-3</v>
      </c>
      <c r="M19" s="14">
        <f>M7</f>
        <v>1.0410170496871461E-3</v>
      </c>
      <c r="N19" s="14">
        <f>N8</f>
        <v>7.1310616949701834E-4</v>
      </c>
      <c r="O19" s="14">
        <f>O9</f>
        <v>1.3978068152106459E-4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2:31" x14ac:dyDescent="0.35">
      <c r="B20">
        <v>18</v>
      </c>
      <c r="C20">
        <f t="shared" si="2"/>
        <v>3.1240000000000001</v>
      </c>
      <c r="D20">
        <f t="shared" si="0"/>
        <v>4.3642000000000003</v>
      </c>
      <c r="E20" s="29">
        <f t="shared" si="3"/>
        <v>-1</v>
      </c>
      <c r="F20" s="14" t="str">
        <f t="shared" si="1"/>
        <v/>
      </c>
      <c r="G20" s="14"/>
      <c r="H20" s="14" t="s">
        <v>10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2:31" x14ac:dyDescent="0.35">
      <c r="B21">
        <v>19</v>
      </c>
      <c r="C21">
        <f t="shared" si="2"/>
        <v>3.242</v>
      </c>
      <c r="D21">
        <f t="shared" si="0"/>
        <v>4.1262999999999996</v>
      </c>
      <c r="E21" s="29">
        <f t="shared" si="3"/>
        <v>-1</v>
      </c>
      <c r="F21" s="14" t="str">
        <f t="shared" si="1"/>
        <v/>
      </c>
      <c r="G21" s="14"/>
      <c r="H21" s="14"/>
      <c r="I21" s="14" cm="1">
        <f t="array" ref="I21:O21">MMULT(I19:O19,I11:O17)</f>
        <v>1.3978068152106459E-4</v>
      </c>
      <c r="J21" s="14">
        <v>-1.4352110809365275E-3</v>
      </c>
      <c r="K21" s="14">
        <v>6.1581729411929959E-3</v>
      </c>
      <c r="L21" s="14">
        <v>-1.0144407325807327E-2</v>
      </c>
      <c r="M21" s="14">
        <v>5.0546308212496005E-3</v>
      </c>
      <c r="N21" s="14">
        <v>0.26323615016230256</v>
      </c>
      <c r="O21" s="14">
        <v>0.72037760979642207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2:31" x14ac:dyDescent="0.35">
      <c r="B22">
        <v>20</v>
      </c>
      <c r="C22">
        <f t="shared" si="2"/>
        <v>3.36</v>
      </c>
      <c r="D22">
        <f t="shared" si="0"/>
        <v>3.8492999999999999</v>
      </c>
      <c r="E22" s="29">
        <f t="shared" si="3"/>
        <v>-1</v>
      </c>
      <c r="F22" s="14" t="str">
        <f t="shared" si="1"/>
        <v/>
      </c>
      <c r="G22" s="14"/>
      <c r="H22" s="14">
        <f>F1</f>
        <v>3</v>
      </c>
      <c r="I22" s="14">
        <f>I21</f>
        <v>1.3978068152106459E-4</v>
      </c>
      <c r="J22" s="14">
        <f>I22*$H$22+J21</f>
        <v>-1.0158690363733336E-3</v>
      </c>
      <c r="K22" s="14">
        <f t="shared" ref="K22:O22" si="8">J22*$H$22+K21</f>
        <v>3.1105658320729952E-3</v>
      </c>
      <c r="L22" s="14">
        <f t="shared" si="8"/>
        <v>-8.1270982958834073E-4</v>
      </c>
      <c r="M22" s="14">
        <f t="shared" si="8"/>
        <v>2.6165013324845783E-3</v>
      </c>
      <c r="N22" s="14">
        <f t="shared" si="8"/>
        <v>0.27108565415975627</v>
      </c>
      <c r="O22" s="10">
        <f t="shared" si="8"/>
        <v>1.533634572275691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2:31" x14ac:dyDescent="0.35">
      <c r="B23">
        <v>21</v>
      </c>
      <c r="C23">
        <f t="shared" si="2"/>
        <v>3.4780000000000002</v>
      </c>
      <c r="D23">
        <f t="shared" si="0"/>
        <v>3.5373000000000001</v>
      </c>
      <c r="E23" s="29">
        <f t="shared" si="3"/>
        <v>-1</v>
      </c>
      <c r="F23" s="14" t="str">
        <f t="shared" si="1"/>
        <v/>
      </c>
      <c r="G23" s="32" t="s">
        <v>16</v>
      </c>
      <c r="H23" s="14"/>
      <c r="I23" s="14"/>
      <c r="J23" s="14" t="s">
        <v>19</v>
      </c>
      <c r="K23" s="14" t="s">
        <v>20</v>
      </c>
      <c r="L23" s="14" t="s">
        <v>21</v>
      </c>
      <c r="M23" s="14" t="s">
        <v>22</v>
      </c>
      <c r="N23" s="14" t="s">
        <v>23</v>
      </c>
      <c r="O23" s="14" t="s">
        <v>24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2:31" x14ac:dyDescent="0.35">
      <c r="B24">
        <v>22</v>
      </c>
      <c r="C24">
        <f t="shared" si="2"/>
        <v>3.5960000000000001</v>
      </c>
      <c r="D24">
        <f t="shared" si="0"/>
        <v>3.1947999999999999</v>
      </c>
      <c r="E24" s="29">
        <f t="shared" si="3"/>
        <v>-1</v>
      </c>
      <c r="F24" s="14">
        <f t="shared" si="1"/>
        <v>1</v>
      </c>
      <c r="G24" s="14"/>
      <c r="H24" s="14" cm="1">
        <f t="array" ref="H24:H30">C24:C30</f>
        <v>3.5960000000000001</v>
      </c>
      <c r="I24" s="14" cm="1">
        <f t="array" ref="I24:I30">D24:D30</f>
        <v>3.1947999999999999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2:31" x14ac:dyDescent="0.35">
      <c r="B25">
        <v>23</v>
      </c>
      <c r="C25">
        <f t="shared" si="2"/>
        <v>3.714</v>
      </c>
      <c r="D25">
        <f t="shared" si="0"/>
        <v>2.8267000000000002</v>
      </c>
      <c r="E25" s="29">
        <f t="shared" si="3"/>
        <v>-1</v>
      </c>
      <c r="F25" s="14" t="str">
        <f t="shared" si="1"/>
        <v/>
      </c>
      <c r="G25" s="14"/>
      <c r="H25" s="14">
        <v>3.714</v>
      </c>
      <c r="I25" s="14">
        <v>2.8267000000000002</v>
      </c>
      <c r="J25" s="14">
        <f>I25-I24</f>
        <v>-0.36809999999999965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2:31" x14ac:dyDescent="0.35">
      <c r="B26">
        <v>24</v>
      </c>
      <c r="C26">
        <f t="shared" si="2"/>
        <v>3.8319999999999999</v>
      </c>
      <c r="D26">
        <f t="shared" si="0"/>
        <v>2.4384000000000001</v>
      </c>
      <c r="E26" s="29">
        <f t="shared" si="3"/>
        <v>-1</v>
      </c>
      <c r="F26" s="14" t="str">
        <f t="shared" si="1"/>
        <v/>
      </c>
      <c r="G26" s="14"/>
      <c r="H26" s="14">
        <v>3.8319999999999999</v>
      </c>
      <c r="I26" s="14">
        <v>2.4384000000000001</v>
      </c>
      <c r="J26" s="14">
        <f t="shared" ref="J26:N30" si="9">I26-I25</f>
        <v>-0.38830000000000009</v>
      </c>
      <c r="K26" s="14">
        <f t="shared" si="9"/>
        <v>-2.020000000000044E-2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2:31" x14ac:dyDescent="0.35">
      <c r="B27">
        <v>25</v>
      </c>
      <c r="C27">
        <f t="shared" si="2"/>
        <v>3.95</v>
      </c>
      <c r="D27">
        <f t="shared" si="0"/>
        <v>2.0354000000000001</v>
      </c>
      <c r="E27" s="29">
        <f t="shared" si="3"/>
        <v>-1</v>
      </c>
      <c r="F27" s="14" t="str">
        <f t="shared" si="1"/>
        <v/>
      </c>
      <c r="G27" s="14"/>
      <c r="H27" s="14">
        <v>3.95</v>
      </c>
      <c r="I27" s="14">
        <v>2.0354000000000001</v>
      </c>
      <c r="J27" s="14">
        <f t="shared" si="9"/>
        <v>-0.40300000000000002</v>
      </c>
      <c r="K27" s="14">
        <f t="shared" si="9"/>
        <v>-1.4699999999999935E-2</v>
      </c>
      <c r="L27" s="14">
        <f t="shared" si="9"/>
        <v>5.5000000000005045E-3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2:31" x14ac:dyDescent="0.35">
      <c r="B28">
        <v>26</v>
      </c>
      <c r="C28">
        <f t="shared" si="2"/>
        <v>4.0679999999999996</v>
      </c>
      <c r="D28">
        <f t="shared" si="0"/>
        <v>1.6234</v>
      </c>
      <c r="E28" s="29">
        <f t="shared" si="3"/>
        <v>-1</v>
      </c>
      <c r="F28" s="14" t="str">
        <f t="shared" si="1"/>
        <v/>
      </c>
      <c r="G28" s="14"/>
      <c r="H28" s="14">
        <v>4.0679999999999996</v>
      </c>
      <c r="I28" s="14">
        <v>1.6234</v>
      </c>
      <c r="J28" s="14">
        <f t="shared" si="9"/>
        <v>-0.41200000000000014</v>
      </c>
      <c r="K28" s="14">
        <f t="shared" si="9"/>
        <v>-9.000000000000119E-3</v>
      </c>
      <c r="L28" s="14">
        <f t="shared" si="9"/>
        <v>5.6999999999998163E-3</v>
      </c>
      <c r="M28" s="14">
        <f t="shared" si="9"/>
        <v>1.9999999999931184E-4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2:31" x14ac:dyDescent="0.35">
      <c r="B29">
        <v>27</v>
      </c>
      <c r="C29">
        <f t="shared" si="2"/>
        <v>4.1859999999999999</v>
      </c>
      <c r="D29">
        <f t="shared" si="0"/>
        <v>1.2083999999999999</v>
      </c>
      <c r="E29" s="29">
        <f t="shared" si="3"/>
        <v>-1</v>
      </c>
      <c r="F29" s="14" t="str">
        <f t="shared" si="1"/>
        <v/>
      </c>
      <c r="G29" s="14"/>
      <c r="H29" s="14">
        <v>4.1859999999999999</v>
      </c>
      <c r="I29" s="14">
        <v>1.2083999999999999</v>
      </c>
      <c r="J29" s="14">
        <f t="shared" si="9"/>
        <v>-0.41500000000000004</v>
      </c>
      <c r="K29" s="14">
        <f t="shared" si="9"/>
        <v>-2.9999999999998916E-3</v>
      </c>
      <c r="L29" s="14">
        <f t="shared" si="9"/>
        <v>6.0000000000002274E-3</v>
      </c>
      <c r="M29" s="14">
        <f t="shared" si="9"/>
        <v>3.0000000000041105E-4</v>
      </c>
      <c r="N29" s="14">
        <f t="shared" si="9"/>
        <v>1.0000000000109921E-4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2:31" x14ac:dyDescent="0.35">
      <c r="B30">
        <v>28</v>
      </c>
      <c r="C30">
        <f t="shared" si="2"/>
        <v>4.3040000000000003</v>
      </c>
      <c r="D30">
        <f t="shared" si="0"/>
        <v>0.79620000000000002</v>
      </c>
      <c r="E30" s="29">
        <f t="shared" si="3"/>
        <v>-1</v>
      </c>
      <c r="F30" s="14" t="str">
        <f t="shared" si="1"/>
        <v/>
      </c>
      <c r="G30" s="14"/>
      <c r="H30" s="14">
        <v>4.3040000000000003</v>
      </c>
      <c r="I30" s="14">
        <v>0.79620000000000002</v>
      </c>
      <c r="J30" s="14">
        <f t="shared" si="9"/>
        <v>-0.4121999999999999</v>
      </c>
      <c r="K30" s="14">
        <f t="shared" si="9"/>
        <v>2.8000000000001357E-3</v>
      </c>
      <c r="L30" s="14">
        <f t="shared" si="9"/>
        <v>5.8000000000000274E-3</v>
      </c>
      <c r="M30" s="14">
        <f t="shared" si="9"/>
        <v>-2.0000000000020002E-4</v>
      </c>
      <c r="N30" s="14">
        <f t="shared" si="9"/>
        <v>-5.0000000000061107E-4</v>
      </c>
      <c r="O30" s="14">
        <f>N30-N29</f>
        <v>-6.0000000000171028E-4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2:31" x14ac:dyDescent="0.35">
      <c r="B31">
        <v>29</v>
      </c>
      <c r="C31">
        <f t="shared" si="2"/>
        <v>4.4219999999999997</v>
      </c>
      <c r="D31">
        <f t="shared" si="0"/>
        <v>0.39279999999999998</v>
      </c>
      <c r="E31" s="29">
        <f t="shared" si="3"/>
        <v>-1</v>
      </c>
      <c r="F31" s="14" t="str">
        <f t="shared" si="1"/>
        <v/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2:31" x14ac:dyDescent="0.35">
      <c r="B32">
        <v>30</v>
      </c>
      <c r="C32">
        <f t="shared" si="2"/>
        <v>4.54</v>
      </c>
      <c r="D32">
        <f t="shared" si="0"/>
        <v>4.0000000000000001E-3</v>
      </c>
      <c r="E32" s="29">
        <f t="shared" si="3"/>
        <v>-1</v>
      </c>
      <c r="F32" s="14" t="str">
        <f t="shared" si="1"/>
        <v/>
      </c>
      <c r="G32" s="14"/>
      <c r="H32" s="14">
        <f>F1</f>
        <v>3</v>
      </c>
      <c r="I32" s="14">
        <f>I24</f>
        <v>3.1947999999999999</v>
      </c>
      <c r="J32" s="14">
        <f>J25</f>
        <v>-0.36809999999999965</v>
      </c>
      <c r="K32" s="14">
        <f>K26/2</f>
        <v>-1.010000000000022E-2</v>
      </c>
      <c r="L32" s="14">
        <f>L27/2/3</f>
        <v>9.1666666666675078E-4</v>
      </c>
      <c r="M32" s="14">
        <f>M28/2/3/4</f>
        <v>8.33333333330466E-6</v>
      </c>
      <c r="N32" s="14">
        <f>N29/2/3/4/5</f>
        <v>8.3333333334249336E-7</v>
      </c>
      <c r="O32" s="14">
        <f>O30/2/3/4/5/6</f>
        <v>-8.3333333333570862E-7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2:31" x14ac:dyDescent="0.35">
      <c r="B33">
        <v>31</v>
      </c>
      <c r="C33">
        <f t="shared" si="2"/>
        <v>4.6580000000000004</v>
      </c>
      <c r="D33">
        <f t="shared" si="0"/>
        <v>-0.3649</v>
      </c>
      <c r="E33" s="29">
        <f t="shared" si="3"/>
        <v>-1</v>
      </c>
      <c r="F33" s="14" t="str">
        <f t="shared" si="1"/>
        <v/>
      </c>
      <c r="G33" s="14" t="s">
        <v>12</v>
      </c>
      <c r="H33" s="14" t="s">
        <v>13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2:31" x14ac:dyDescent="0.35">
      <c r="B34">
        <v>32</v>
      </c>
      <c r="C34">
        <f t="shared" si="2"/>
        <v>4.7759999999999998</v>
      </c>
      <c r="D34">
        <f t="shared" si="0"/>
        <v>-0.70830000000000004</v>
      </c>
      <c r="E34" s="29">
        <f t="shared" si="3"/>
        <v>-1</v>
      </c>
      <c r="F34" s="14"/>
      <c r="G34" s="14">
        <f>(H32-I32)/J32</f>
        <v>0.52920402064656358</v>
      </c>
      <c r="H34" s="14">
        <f>$G$34-1/$J$32*($K$32*G34*(G34-1)+$L$32*G34*(G34-1)*(G34-2)+$M$32*G34*(G34-1)*(G34-2)*(G34-3)+$N$32*G34*(G34-1)*(G34-2)*(G34-3)*(G34-4)+$O$32*G34*(G34-1)*(G34-2)*(G34-3)*(G34-4)*(G34-5))</f>
        <v>0.53697113566219457</v>
      </c>
      <c r="I34" s="14">
        <f t="shared" ref="I34:K34" si="10">$G$34-1/$J$32*($K$32*H34*(H34-1)+$L$32*H34*(H34-1)*(H34-2)+$M$32*H34*(H34-1)*(H34-2)*(H34-3)+$N$32*H34*(H34-1)*(H34-2)*(H34-3)*(H34-4)+$O$32*H34*(H34-1)*(H34-2)*(H34-3)*(H34-4)*(H34-5))</f>
        <v>0.53695000768882784</v>
      </c>
      <c r="J34" s="14">
        <f t="shared" si="10"/>
        <v>0.53695007022638852</v>
      </c>
      <c r="K34" s="14">
        <f t="shared" si="10"/>
        <v>0.53695007004132178</v>
      </c>
      <c r="L34" s="14">
        <f>$G$34-1/$J$32*($K$32*K34*(K34-1)+$L$32*K34*(K34-1)*(K34-2)+$M$32*K34*(K34-1)*(K34-2)*(K34-3)+$N$32*K34*(K34-1)*(K34-2)*(K34-3)*(K34-4)+$O$32*K34*(K34-1)*(K34-2)*(K34-3)*(K34-4)*(K34-5))</f>
        <v>0.53695007004186945</v>
      </c>
      <c r="M34" s="14">
        <f>$G$34-1/$J$32*($K$32*L34*(L34-1)+$L$32*L34*(L34-1)*(L34-2)+$M$32*L34*(L34-1)*(L34-2)*(L34-3)+$N$32*L34*(L34-1)*(L34-2)*(L34-3)*(L34-4)+$O$32*L34*(L34-1)*(L34-2)*(L34-3)*(L34-4)*(L34-5))</f>
        <v>0.5369500700418679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2:31" x14ac:dyDescent="0.35">
      <c r="B35">
        <v>33</v>
      </c>
      <c r="C35">
        <f t="shared" si="2"/>
        <v>4.8940000000000001</v>
      </c>
      <c r="D35">
        <f t="shared" si="0"/>
        <v>-1.0216000000000001</v>
      </c>
      <c r="E35" s="29">
        <f t="shared" si="3"/>
        <v>-1</v>
      </c>
      <c r="F35" s="14" t="str">
        <f t="shared" si="1"/>
        <v/>
      </c>
      <c r="G35" s="14"/>
      <c r="H35" s="14"/>
      <c r="I35" s="14"/>
      <c r="J35" s="14"/>
      <c r="K35" s="14"/>
      <c r="L35" s="14"/>
      <c r="M35" s="10">
        <f>H24+M34*C1</f>
        <v>3.6593601082649405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2:31" x14ac:dyDescent="0.35">
      <c r="B36">
        <v>34</v>
      </c>
      <c r="C36">
        <f t="shared" si="2"/>
        <v>5.0119999999999996</v>
      </c>
      <c r="D36">
        <f t="shared" si="0"/>
        <v>-1.3001</v>
      </c>
      <c r="E36" s="29">
        <f t="shared" si="3"/>
        <v>-1</v>
      </c>
      <c r="F36" s="14" t="str">
        <f t="shared" si="1"/>
        <v/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2:31" x14ac:dyDescent="0.35">
      <c r="B37">
        <v>35</v>
      </c>
      <c r="C37">
        <f t="shared" si="2"/>
        <v>5.13</v>
      </c>
      <c r="D37">
        <f t="shared" si="0"/>
        <v>-1.5399</v>
      </c>
      <c r="E37" s="29">
        <f t="shared" si="3"/>
        <v>-1</v>
      </c>
      <c r="F37" s="14" t="str">
        <f t="shared" si="1"/>
        <v/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2:31" x14ac:dyDescent="0.35">
      <c r="B38">
        <v>36</v>
      </c>
      <c r="C38">
        <f t="shared" si="2"/>
        <v>5.2480000000000002</v>
      </c>
      <c r="D38">
        <f t="shared" si="0"/>
        <v>-1.7375</v>
      </c>
      <c r="E38" s="29">
        <f t="shared" si="3"/>
        <v>-1</v>
      </c>
      <c r="F38" s="14" t="str">
        <f t="shared" si="1"/>
        <v/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2:31" x14ac:dyDescent="0.35">
      <c r="B39">
        <v>37</v>
      </c>
      <c r="C39">
        <f t="shared" si="2"/>
        <v>5.3659999999999997</v>
      </c>
      <c r="D39">
        <f t="shared" si="0"/>
        <v>-1.89</v>
      </c>
      <c r="E39" s="29">
        <f t="shared" si="3"/>
        <v>-1</v>
      </c>
      <c r="F39" s="14" t="str">
        <f t="shared" si="1"/>
        <v/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2:31" x14ac:dyDescent="0.35">
      <c r="B40">
        <v>38</v>
      </c>
      <c r="C40">
        <f t="shared" si="2"/>
        <v>5.484</v>
      </c>
      <c r="D40">
        <f t="shared" si="0"/>
        <v>-1.9952000000000001</v>
      </c>
      <c r="E40" s="29">
        <f t="shared" si="3"/>
        <v>-1</v>
      </c>
      <c r="F40" s="14" t="str">
        <f t="shared" si="1"/>
        <v/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2:31" ht="15" thickBot="1" x14ac:dyDescent="0.4">
      <c r="B41">
        <v>39</v>
      </c>
      <c r="C41">
        <f t="shared" si="2"/>
        <v>5.6020000000000003</v>
      </c>
      <c r="D41">
        <f t="shared" si="0"/>
        <v>-2.0514999999999999</v>
      </c>
      <c r="E41" s="29">
        <f t="shared" si="3"/>
        <v>-1</v>
      </c>
      <c r="F41" s="14" t="str">
        <f t="shared" si="1"/>
        <v/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2:31" ht="15" thickBot="1" x14ac:dyDescent="0.4">
      <c r="B42">
        <v>40</v>
      </c>
      <c r="C42">
        <f t="shared" si="2"/>
        <v>5.72</v>
      </c>
      <c r="D42">
        <f t="shared" si="0"/>
        <v>-2.0579000000000001</v>
      </c>
      <c r="E42" s="31">
        <f t="shared" si="3"/>
        <v>-1</v>
      </c>
      <c r="F42" s="14" t="str">
        <f t="shared" si="1"/>
        <v/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2:31" x14ac:dyDescent="0.35">
      <c r="B43">
        <v>41</v>
      </c>
      <c r="C43">
        <f t="shared" si="2"/>
        <v>5.8380000000000001</v>
      </c>
      <c r="D43">
        <f t="shared" si="0"/>
        <v>-2.0144000000000002</v>
      </c>
      <c r="E43" s="29">
        <f t="shared" si="3"/>
        <v>1</v>
      </c>
      <c r="F43" s="14" t="str">
        <f t="shared" si="1"/>
        <v/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2:31" x14ac:dyDescent="0.35">
      <c r="B44">
        <v>42</v>
      </c>
      <c r="C44">
        <f t="shared" si="2"/>
        <v>5.9560000000000004</v>
      </c>
      <c r="D44">
        <f t="shared" si="0"/>
        <v>-1.9214</v>
      </c>
      <c r="E44" s="29">
        <f t="shared" si="3"/>
        <v>1</v>
      </c>
      <c r="F44" s="14" t="str">
        <f t="shared" si="1"/>
        <v/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2:31" x14ac:dyDescent="0.35">
      <c r="B45">
        <v>43</v>
      </c>
      <c r="C45">
        <f t="shared" si="2"/>
        <v>6.0739999999999998</v>
      </c>
      <c r="D45">
        <f t="shared" si="0"/>
        <v>-1.78</v>
      </c>
      <c r="E45" s="29">
        <f t="shared" si="3"/>
        <v>1</v>
      </c>
      <c r="F45" s="14" t="str">
        <f t="shared" si="1"/>
        <v/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2:31" x14ac:dyDescent="0.35">
      <c r="B46">
        <v>44</v>
      </c>
      <c r="C46">
        <f t="shared" si="2"/>
        <v>6.1920000000000002</v>
      </c>
      <c r="D46">
        <f t="shared" si="0"/>
        <v>-1.5922000000000001</v>
      </c>
      <c r="E46" s="29">
        <f t="shared" si="3"/>
        <v>1</v>
      </c>
      <c r="F46" s="14" t="str">
        <f t="shared" si="1"/>
        <v/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2:31" x14ac:dyDescent="0.35">
      <c r="B47">
        <v>45</v>
      </c>
      <c r="C47">
        <f t="shared" si="2"/>
        <v>6.31</v>
      </c>
      <c r="D47">
        <f t="shared" si="0"/>
        <v>-1.3604000000000001</v>
      </c>
      <c r="E47" s="29">
        <f t="shared" si="3"/>
        <v>1</v>
      </c>
      <c r="F47" s="14" t="str">
        <f t="shared" si="1"/>
        <v/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2:31" x14ac:dyDescent="0.35">
      <c r="B48">
        <v>46</v>
      </c>
      <c r="C48">
        <f t="shared" si="2"/>
        <v>6.4279999999999999</v>
      </c>
      <c r="D48">
        <f t="shared" si="0"/>
        <v>-1.0876999999999999</v>
      </c>
      <c r="E48" s="29">
        <f t="shared" si="3"/>
        <v>1</v>
      </c>
      <c r="F48" s="14" t="str">
        <f t="shared" si="1"/>
        <v/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2:31" x14ac:dyDescent="0.35">
      <c r="B49">
        <v>47</v>
      </c>
      <c r="C49">
        <f t="shared" si="2"/>
        <v>6.5460000000000003</v>
      </c>
      <c r="D49">
        <f t="shared" si="0"/>
        <v>-0.77790000000000004</v>
      </c>
      <c r="E49" s="29">
        <f t="shared" si="3"/>
        <v>1</v>
      </c>
      <c r="F49" s="14" t="str">
        <f t="shared" si="1"/>
        <v/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2:31" x14ac:dyDescent="0.35">
      <c r="B50">
        <v>48</v>
      </c>
      <c r="C50">
        <f t="shared" si="2"/>
        <v>6.6639999999999997</v>
      </c>
      <c r="D50">
        <f t="shared" si="0"/>
        <v>-0.435</v>
      </c>
      <c r="E50" s="29">
        <f t="shared" si="3"/>
        <v>1</v>
      </c>
      <c r="F50" s="14" t="str">
        <f t="shared" si="1"/>
        <v/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2:31" x14ac:dyDescent="0.35">
      <c r="B51">
        <v>49</v>
      </c>
      <c r="C51">
        <f t="shared" si="2"/>
        <v>6.782</v>
      </c>
      <c r="D51">
        <f t="shared" si="0"/>
        <v>-6.3899999999999998E-2</v>
      </c>
      <c r="E51" s="29">
        <f t="shared" si="3"/>
        <v>1</v>
      </c>
      <c r="F51" s="14" t="str">
        <f t="shared" si="1"/>
        <v/>
      </c>
      <c r="G51" s="32" t="s">
        <v>17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2:31" x14ac:dyDescent="0.35">
      <c r="B52">
        <v>50</v>
      </c>
      <c r="C52">
        <f t="shared" si="2"/>
        <v>6.9</v>
      </c>
      <c r="D52">
        <f t="shared" si="0"/>
        <v>0.33040000000000003</v>
      </c>
      <c r="E52" s="29">
        <f t="shared" si="3"/>
        <v>1</v>
      </c>
      <c r="F52" s="14" t="str">
        <f t="shared" si="1"/>
        <v/>
      </c>
      <c r="G52" s="14"/>
      <c r="H52" s="14"/>
      <c r="I52" s="14"/>
      <c r="J52" s="14" t="s">
        <v>19</v>
      </c>
      <c r="K52" s="14" t="s">
        <v>20</v>
      </c>
      <c r="L52" s="14" t="s">
        <v>21</v>
      </c>
      <c r="M52" s="14" t="s">
        <v>22</v>
      </c>
      <c r="N52" s="14" t="s">
        <v>23</v>
      </c>
      <c r="O52" s="14" t="s">
        <v>24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2:31" x14ac:dyDescent="0.35">
      <c r="B53">
        <v>51</v>
      </c>
      <c r="C53">
        <f t="shared" si="2"/>
        <v>7.0179999999999998</v>
      </c>
      <c r="D53">
        <f t="shared" si="0"/>
        <v>0.74270000000000003</v>
      </c>
      <c r="E53" s="29">
        <f t="shared" si="3"/>
        <v>1</v>
      </c>
      <c r="F53" s="14" t="str">
        <f t="shared" si="1"/>
        <v/>
      </c>
      <c r="G53" s="14"/>
      <c r="H53" s="14" cm="1">
        <f t="array" ref="H53:H59">C53:C59</f>
        <v>7.0179999999999998</v>
      </c>
      <c r="I53" s="14" cm="1">
        <f t="array" ref="I53:I59">D53:D59</f>
        <v>0.74270000000000003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2:31" x14ac:dyDescent="0.35">
      <c r="B54">
        <v>52</v>
      </c>
      <c r="C54">
        <f t="shared" si="2"/>
        <v>7.1360000000000001</v>
      </c>
      <c r="D54">
        <f t="shared" si="0"/>
        <v>1.1671</v>
      </c>
      <c r="E54" s="29">
        <f t="shared" si="3"/>
        <v>1</v>
      </c>
      <c r="F54" s="14" t="str">
        <f t="shared" si="1"/>
        <v/>
      </c>
      <c r="G54" s="14"/>
      <c r="H54" s="14">
        <v>7.1360000000000001</v>
      </c>
      <c r="I54" s="14">
        <v>1.1671</v>
      </c>
      <c r="J54" s="14">
        <f t="shared" ref="J54:N59" si="11">I54-I53</f>
        <v>0.4244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2:31" x14ac:dyDescent="0.35">
      <c r="B55">
        <v>53</v>
      </c>
      <c r="C55">
        <f t="shared" si="2"/>
        <v>7.2539999999999996</v>
      </c>
      <c r="D55">
        <f t="shared" si="0"/>
        <v>1.5979000000000001</v>
      </c>
      <c r="E55" s="29">
        <f t="shared" si="3"/>
        <v>1</v>
      </c>
      <c r="F55" s="14" t="str">
        <f t="shared" si="1"/>
        <v/>
      </c>
      <c r="G55" s="14"/>
      <c r="H55" s="14">
        <v>7.2539999999999996</v>
      </c>
      <c r="I55" s="14">
        <v>1.5979000000000001</v>
      </c>
      <c r="J55" s="14">
        <f t="shared" si="11"/>
        <v>0.43080000000000007</v>
      </c>
      <c r="K55" s="14">
        <f t="shared" si="11"/>
        <v>6.4000000000000723E-3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2:31" x14ac:dyDescent="0.35">
      <c r="B56">
        <v>54</v>
      </c>
      <c r="C56">
        <f t="shared" si="2"/>
        <v>7.3719999999999999</v>
      </c>
      <c r="D56">
        <f t="shared" si="0"/>
        <v>2.0293000000000001</v>
      </c>
      <c r="E56" s="29">
        <f t="shared" si="3"/>
        <v>1</v>
      </c>
      <c r="F56" s="14" t="str">
        <f t="shared" si="1"/>
        <v/>
      </c>
      <c r="G56" s="14"/>
      <c r="H56" s="14">
        <v>7.3719999999999999</v>
      </c>
      <c r="I56" s="14">
        <v>2.0293000000000001</v>
      </c>
      <c r="J56" s="14">
        <f t="shared" si="11"/>
        <v>0.43140000000000001</v>
      </c>
      <c r="K56" s="14">
        <f t="shared" si="11"/>
        <v>5.9999999999993392E-4</v>
      </c>
      <c r="L56" s="14">
        <f t="shared" si="11"/>
        <v>-5.8000000000001384E-3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2:31" x14ac:dyDescent="0.35">
      <c r="B57">
        <v>55</v>
      </c>
      <c r="C57">
        <f t="shared" si="2"/>
        <v>7.49</v>
      </c>
      <c r="D57">
        <f t="shared" si="0"/>
        <v>2.4552999999999998</v>
      </c>
      <c r="E57" s="29">
        <f t="shared" si="3"/>
        <v>1</v>
      </c>
      <c r="F57" s="14" t="str">
        <f t="shared" si="1"/>
        <v/>
      </c>
      <c r="G57" s="14"/>
      <c r="H57" s="14">
        <v>7.49</v>
      </c>
      <c r="I57" s="14">
        <v>2.4552999999999998</v>
      </c>
      <c r="J57" s="14">
        <f t="shared" si="11"/>
        <v>0.42599999999999971</v>
      </c>
      <c r="K57" s="14">
        <f t="shared" si="11"/>
        <v>-5.4000000000002935E-3</v>
      </c>
      <c r="L57" s="14">
        <f t="shared" si="11"/>
        <v>-6.0000000000002274E-3</v>
      </c>
      <c r="M57" s="14">
        <f t="shared" si="11"/>
        <v>-2.00000000000089E-4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2:31" x14ac:dyDescent="0.35">
      <c r="B58">
        <v>56</v>
      </c>
      <c r="C58">
        <f t="shared" si="2"/>
        <v>7.6079999999999997</v>
      </c>
      <c r="D58">
        <f t="shared" si="0"/>
        <v>2.8700999999999999</v>
      </c>
      <c r="E58" s="29">
        <f t="shared" si="3"/>
        <v>1</v>
      </c>
      <c r="F58" s="14">
        <f t="shared" si="1"/>
        <v>1</v>
      </c>
      <c r="G58" s="14"/>
      <c r="H58" s="14">
        <v>7.6079999999999997</v>
      </c>
      <c r="I58" s="14">
        <v>2.8700999999999999</v>
      </c>
      <c r="J58" s="14">
        <f t="shared" si="11"/>
        <v>0.41480000000000006</v>
      </c>
      <c r="K58" s="14">
        <f t="shared" si="11"/>
        <v>-1.1199999999999655E-2</v>
      </c>
      <c r="L58" s="14">
        <f t="shared" si="11"/>
        <v>-5.7999999999993612E-3</v>
      </c>
      <c r="M58" s="14">
        <f t="shared" si="11"/>
        <v>2.0000000000086615E-4</v>
      </c>
      <c r="N58" s="14">
        <f t="shared" si="11"/>
        <v>4.0000000000095515E-4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2:31" x14ac:dyDescent="0.35">
      <c r="B59">
        <v>57</v>
      </c>
      <c r="C59">
        <f t="shared" si="2"/>
        <v>7.726</v>
      </c>
      <c r="D59">
        <f t="shared" si="0"/>
        <v>3.2679</v>
      </c>
      <c r="E59" s="29">
        <f t="shared" si="3"/>
        <v>1</v>
      </c>
      <c r="F59" s="14" t="str">
        <f t="shared" si="1"/>
        <v/>
      </c>
      <c r="G59" s="14"/>
      <c r="H59" s="14">
        <v>7.726</v>
      </c>
      <c r="I59" s="14">
        <v>3.2679</v>
      </c>
      <c r="J59" s="14">
        <f t="shared" si="11"/>
        <v>0.39780000000000015</v>
      </c>
      <c r="K59" s="14">
        <f t="shared" si="11"/>
        <v>-1.6999999999999904E-2</v>
      </c>
      <c r="L59" s="14">
        <f t="shared" si="11"/>
        <v>-5.8000000000002494E-3</v>
      </c>
      <c r="M59" s="14">
        <f t="shared" si="11"/>
        <v>-8.8817841970012523E-16</v>
      </c>
      <c r="N59" s="14">
        <f t="shared" si="11"/>
        <v>-2.0000000000175433E-4</v>
      </c>
      <c r="O59" s="14">
        <f>N59-N58</f>
        <v>-6.0000000000270948E-4</v>
      </c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2:31" x14ac:dyDescent="0.35">
      <c r="B60">
        <v>58</v>
      </c>
      <c r="C60">
        <f t="shared" si="2"/>
        <v>7.8440000000000003</v>
      </c>
      <c r="D60">
        <f t="shared" si="0"/>
        <v>3.6435</v>
      </c>
      <c r="E60" s="29">
        <f t="shared" si="3"/>
        <v>1</v>
      </c>
      <c r="F60" s="14" t="str">
        <f t="shared" si="1"/>
        <v/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2:31" x14ac:dyDescent="0.35">
      <c r="B61">
        <v>59</v>
      </c>
      <c r="C61">
        <f t="shared" si="2"/>
        <v>7.9619999999999997</v>
      </c>
      <c r="D61">
        <f t="shared" si="0"/>
        <v>3.9916</v>
      </c>
      <c r="E61" s="29">
        <f t="shared" si="3"/>
        <v>1</v>
      </c>
      <c r="F61" s="14" t="str">
        <f t="shared" si="1"/>
        <v/>
      </c>
      <c r="G61" s="14"/>
      <c r="H61" s="14">
        <f>F1</f>
        <v>3</v>
      </c>
      <c r="I61" s="14">
        <f>I59</f>
        <v>3.2679</v>
      </c>
      <c r="J61" s="14">
        <f>J59</f>
        <v>0.39780000000000015</v>
      </c>
      <c r="K61" s="14">
        <f>K59/2</f>
        <v>-8.499999999999952E-3</v>
      </c>
      <c r="L61" s="14">
        <f>L59/2/3</f>
        <v>-9.666666666667082E-4</v>
      </c>
      <c r="M61" s="14">
        <f>M59/2/3/4</f>
        <v>-3.7007434154171883E-17</v>
      </c>
      <c r="N61" s="14">
        <f>N59/2/3/4/5</f>
        <v>-1.6666666666812862E-6</v>
      </c>
      <c r="O61" s="14">
        <f>O59/2/3/4/5/6</f>
        <v>-8.3333333333709649E-7</v>
      </c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2:31" x14ac:dyDescent="0.35">
      <c r="B62">
        <v>60</v>
      </c>
      <c r="C62">
        <f t="shared" si="2"/>
        <v>8.08</v>
      </c>
      <c r="D62">
        <f t="shared" si="0"/>
        <v>4.3074000000000003</v>
      </c>
      <c r="E62" s="29">
        <f t="shared" si="3"/>
        <v>1</v>
      </c>
      <c r="F62" s="14" t="str">
        <f t="shared" si="1"/>
        <v/>
      </c>
      <c r="G62" t="s">
        <v>12</v>
      </c>
      <c r="H62" t="s">
        <v>13</v>
      </c>
    </row>
    <row r="63" spans="2:31" x14ac:dyDescent="0.35">
      <c r="B63">
        <v>61</v>
      </c>
      <c r="C63">
        <f t="shared" si="2"/>
        <v>8.1980000000000004</v>
      </c>
      <c r="D63">
        <f t="shared" si="0"/>
        <v>4.5867000000000004</v>
      </c>
      <c r="E63" s="29">
        <f t="shared" si="3"/>
        <v>1</v>
      </c>
      <c r="F63" s="14" t="str">
        <f t="shared" si="1"/>
        <v/>
      </c>
      <c r="G63">
        <f>(H61-I61)/J61</f>
        <v>-0.67345399698340858</v>
      </c>
      <c r="H63">
        <f>$G$63-1/$J$61*($K$61*G63*(G63-1)+$L$61*G63*(G63-1)*(G63-2)+$M$61*G63*(G63-1)*(G63-2)*(G63-3)+$N$61*G63*(G63-1)*(G63-2)*(G63-3)*(G63-4)+$O$61*G63*(G63-1)*(G63-2)*(G63-3)*(G63-4)*(G63-5))</f>
        <v>-0.65629648107949601</v>
      </c>
      <c r="I63">
        <f>$G$63-1/$J$61*($K$61*H63*(H63-1)+$L$61*H63*(H63-1)*(H63-2)+$M$61*H63*(H63-1)*(H63-2)*(H63-3)+$N$61*H63*(H63-1)*(H63-2)*(H63-3)*(H63-4)+$O$61*H63*(H63-1)*(H63-2)*(H63-3)*(H63-4)*(H63-5))</f>
        <v>-0.65686711636429607</v>
      </c>
      <c r="J63">
        <f t="shared" ref="I63:O63" si="12">$G$63-1/$J$61*($K$61*I63*(I63-1)+$L$61*I63*(I63-1)*(I63-2)+$M$61*I63*(I63-1)*(I63-2)*(I63-3)+$N$61*I63*(I63-1)*(I63-2)*(I63-3)*(I63-4)+$O$61*I63*(I63-1)*(I63-2)*(I63-3)*(I63-4)*(I63-5))</f>
        <v>-0.65684823912595125</v>
      </c>
      <c r="K63">
        <f t="shared" si="12"/>
        <v>-0.65684886371736595</v>
      </c>
      <c r="L63">
        <f t="shared" si="12"/>
        <v>-0.6568488430516245</v>
      </c>
      <c r="M63">
        <f t="shared" si="12"/>
        <v>-0.65684884373538832</v>
      </c>
      <c r="N63">
        <f t="shared" si="12"/>
        <v>-0.65684884371276464</v>
      </c>
      <c r="O63">
        <f t="shared" si="12"/>
        <v>-0.65684884371351326</v>
      </c>
    </row>
    <row r="64" spans="2:31" x14ac:dyDescent="0.35">
      <c r="B64">
        <v>62</v>
      </c>
      <c r="C64">
        <f t="shared" si="2"/>
        <v>8.3160000000000007</v>
      </c>
      <c r="D64">
        <f t="shared" si="0"/>
        <v>4.8257000000000003</v>
      </c>
      <c r="E64" s="29">
        <f t="shared" si="3"/>
        <v>1</v>
      </c>
      <c r="F64" s="14" t="str">
        <f t="shared" si="1"/>
        <v/>
      </c>
      <c r="O64" s="10">
        <f>H59+O63*C1</f>
        <v>7.6484918364418055</v>
      </c>
    </row>
    <row r="65" spans="2:6" x14ac:dyDescent="0.35">
      <c r="B65">
        <v>63</v>
      </c>
      <c r="C65">
        <f t="shared" si="2"/>
        <v>8.4339999999999993</v>
      </c>
      <c r="D65">
        <f t="shared" si="0"/>
        <v>5.0212000000000003</v>
      </c>
      <c r="E65" s="29">
        <f t="shared" si="3"/>
        <v>1</v>
      </c>
      <c r="F65" s="14" t="str">
        <f t="shared" si="1"/>
        <v/>
      </c>
    </row>
    <row r="66" spans="2:6" x14ac:dyDescent="0.35">
      <c r="B66">
        <v>64</v>
      </c>
      <c r="C66">
        <f t="shared" si="2"/>
        <v>8.5519999999999996</v>
      </c>
      <c r="D66">
        <f t="shared" si="0"/>
        <v>5.1703999999999999</v>
      </c>
      <c r="E66" s="29">
        <f t="shared" si="3"/>
        <v>1</v>
      </c>
      <c r="F66" s="14" t="str">
        <f t="shared" si="1"/>
        <v/>
      </c>
    </row>
    <row r="67" spans="2:6" x14ac:dyDescent="0.35">
      <c r="B67">
        <v>65</v>
      </c>
      <c r="C67">
        <f t="shared" si="2"/>
        <v>8.67</v>
      </c>
      <c r="D67">
        <f t="shared" ref="D67:D130" si="13">ROUND(POWER(C67,1/4)+2*SIN(C67)-3*COS(C67),4)</f>
        <v>5.2714999999999996</v>
      </c>
      <c r="E67" s="29">
        <f t="shared" si="3"/>
        <v>1</v>
      </c>
      <c r="F67" s="14" t="str">
        <f t="shared" ref="F67:F130" si="14">IF((D67-$F$1)*(D68-$F$1)&lt;0,1,"")</f>
        <v/>
      </c>
    </row>
    <row r="68" spans="2:6" ht="15" thickBot="1" x14ac:dyDescent="0.4">
      <c r="B68">
        <v>66</v>
      </c>
      <c r="C68">
        <f t="shared" ref="C68:C131" si="15">ROUND(C67+$C$1,4)</f>
        <v>8.7880000000000003</v>
      </c>
      <c r="D68">
        <f t="shared" si="13"/>
        <v>5.3230000000000004</v>
      </c>
      <c r="E68" s="29">
        <f t="shared" ref="E68:E131" si="16">IF(D68-D67&gt;0,1,IF(D68-D67&lt;0,-1,0))</f>
        <v>1</v>
      </c>
      <c r="F68" s="14" t="str">
        <f t="shared" si="14"/>
        <v/>
      </c>
    </row>
    <row r="69" spans="2:6" ht="15" thickBot="1" x14ac:dyDescent="0.4">
      <c r="B69">
        <v>67</v>
      </c>
      <c r="C69">
        <f t="shared" si="15"/>
        <v>8.9060000000000006</v>
      </c>
      <c r="D69">
        <f t="shared" si="13"/>
        <v>5.3243999999999998</v>
      </c>
      <c r="E69" s="31">
        <f t="shared" si="16"/>
        <v>1</v>
      </c>
      <c r="F69" s="14" t="str">
        <f t="shared" si="14"/>
        <v/>
      </c>
    </row>
    <row r="70" spans="2:6" x14ac:dyDescent="0.35">
      <c r="B70">
        <v>68</v>
      </c>
      <c r="C70">
        <f t="shared" si="15"/>
        <v>9.0239999999999991</v>
      </c>
      <c r="D70">
        <f t="shared" si="13"/>
        <v>5.2756999999999996</v>
      </c>
      <c r="E70" s="29">
        <f t="shared" si="16"/>
        <v>-1</v>
      </c>
      <c r="F70" s="14" t="str">
        <f t="shared" si="14"/>
        <v/>
      </c>
    </row>
    <row r="71" spans="2:6" x14ac:dyDescent="0.35">
      <c r="B71">
        <v>69</v>
      </c>
      <c r="C71">
        <f t="shared" si="15"/>
        <v>9.1419999999999995</v>
      </c>
      <c r="D71">
        <f t="shared" si="13"/>
        <v>5.1776999999999997</v>
      </c>
      <c r="E71" s="29">
        <f t="shared" si="16"/>
        <v>-1</v>
      </c>
      <c r="F71" s="14" t="str">
        <f t="shared" si="14"/>
        <v/>
      </c>
    </row>
    <row r="72" spans="2:6" x14ac:dyDescent="0.35">
      <c r="B72">
        <v>70</v>
      </c>
      <c r="C72">
        <f t="shared" si="15"/>
        <v>9.26</v>
      </c>
      <c r="D72">
        <f t="shared" si="13"/>
        <v>5.0319000000000003</v>
      </c>
      <c r="E72" s="29">
        <f t="shared" si="16"/>
        <v>-1</v>
      </c>
      <c r="F72" s="14" t="str">
        <f t="shared" si="14"/>
        <v/>
      </c>
    </row>
    <row r="73" spans="2:6" x14ac:dyDescent="0.35">
      <c r="B73">
        <v>71</v>
      </c>
      <c r="C73">
        <f t="shared" si="15"/>
        <v>9.3780000000000001</v>
      </c>
      <c r="D73">
        <f t="shared" si="13"/>
        <v>4.8402000000000003</v>
      </c>
      <c r="E73" s="29">
        <f t="shared" si="16"/>
        <v>-1</v>
      </c>
      <c r="F73" s="14" t="str">
        <f t="shared" si="14"/>
        <v/>
      </c>
    </row>
    <row r="74" spans="2:6" x14ac:dyDescent="0.35">
      <c r="B74">
        <v>72</v>
      </c>
      <c r="C74">
        <f t="shared" si="15"/>
        <v>9.4960000000000004</v>
      </c>
      <c r="D74">
        <f t="shared" si="13"/>
        <v>4.6055000000000001</v>
      </c>
      <c r="E74" s="29">
        <f t="shared" si="16"/>
        <v>-1</v>
      </c>
      <c r="F74" s="14" t="str">
        <f t="shared" si="14"/>
        <v/>
      </c>
    </row>
    <row r="75" spans="2:6" x14ac:dyDescent="0.35">
      <c r="B75">
        <v>73</v>
      </c>
      <c r="C75">
        <f t="shared" si="15"/>
        <v>9.6140000000000008</v>
      </c>
      <c r="D75">
        <f t="shared" si="13"/>
        <v>4.3311000000000002</v>
      </c>
      <c r="E75" s="29">
        <f t="shared" si="16"/>
        <v>-1</v>
      </c>
      <c r="F75" s="14" t="str">
        <f t="shared" si="14"/>
        <v/>
      </c>
    </row>
    <row r="76" spans="2:6" x14ac:dyDescent="0.35">
      <c r="B76">
        <v>74</v>
      </c>
      <c r="C76">
        <f t="shared" si="15"/>
        <v>9.7319999999999993</v>
      </c>
      <c r="D76">
        <f t="shared" si="13"/>
        <v>4.0209999999999999</v>
      </c>
      <c r="E76" s="29">
        <f t="shared" si="16"/>
        <v>-1</v>
      </c>
      <c r="F76" s="14" t="str">
        <f t="shared" si="14"/>
        <v/>
      </c>
    </row>
    <row r="77" spans="2:6" x14ac:dyDescent="0.35">
      <c r="B77">
        <v>75</v>
      </c>
      <c r="C77">
        <f t="shared" si="15"/>
        <v>9.85</v>
      </c>
      <c r="D77">
        <f t="shared" si="13"/>
        <v>3.6793999999999998</v>
      </c>
      <c r="E77" s="29">
        <f t="shared" si="16"/>
        <v>-1</v>
      </c>
      <c r="F77" s="14" t="str">
        <f t="shared" si="14"/>
        <v/>
      </c>
    </row>
    <row r="78" spans="2:6" x14ac:dyDescent="0.35">
      <c r="B78">
        <v>76</v>
      </c>
      <c r="C78">
        <f t="shared" si="15"/>
        <v>9.968</v>
      </c>
      <c r="D78">
        <f t="shared" si="13"/>
        <v>3.3111999999999999</v>
      </c>
      <c r="E78" s="29">
        <f t="shared" si="16"/>
        <v>-1</v>
      </c>
      <c r="F78" s="14">
        <f t="shared" si="14"/>
        <v>1</v>
      </c>
    </row>
    <row r="79" spans="2:6" x14ac:dyDescent="0.35">
      <c r="B79">
        <v>77</v>
      </c>
      <c r="C79">
        <f t="shared" si="15"/>
        <v>10.086</v>
      </c>
      <c r="D79">
        <f t="shared" si="13"/>
        <v>2.9217</v>
      </c>
      <c r="E79" s="29">
        <f t="shared" si="16"/>
        <v>-1</v>
      </c>
      <c r="F79" s="14" t="str">
        <f t="shared" si="14"/>
        <v/>
      </c>
    </row>
    <row r="80" spans="2:6" x14ac:dyDescent="0.35">
      <c r="B80">
        <v>78</v>
      </c>
      <c r="C80">
        <f t="shared" si="15"/>
        <v>10.204000000000001</v>
      </c>
      <c r="D80">
        <f t="shared" si="13"/>
        <v>2.5162</v>
      </c>
      <c r="E80" s="29">
        <f t="shared" si="16"/>
        <v>-1</v>
      </c>
      <c r="F80" s="14" t="str">
        <f t="shared" si="14"/>
        <v/>
      </c>
    </row>
    <row r="81" spans="2:6" x14ac:dyDescent="0.35">
      <c r="B81">
        <v>79</v>
      </c>
      <c r="C81">
        <f t="shared" si="15"/>
        <v>10.321999999999999</v>
      </c>
      <c r="D81">
        <f t="shared" si="13"/>
        <v>2.1006</v>
      </c>
      <c r="E81" s="29">
        <f t="shared" si="16"/>
        <v>-1</v>
      </c>
      <c r="F81" s="14" t="str">
        <f t="shared" si="14"/>
        <v/>
      </c>
    </row>
    <row r="82" spans="2:6" x14ac:dyDescent="0.35">
      <c r="B82">
        <v>80</v>
      </c>
      <c r="C82">
        <f t="shared" si="15"/>
        <v>10.44</v>
      </c>
      <c r="D82">
        <f t="shared" si="13"/>
        <v>1.6806000000000001</v>
      </c>
      <c r="E82" s="29">
        <f t="shared" si="16"/>
        <v>-1</v>
      </c>
      <c r="F82" s="14" t="str">
        <f t="shared" si="14"/>
        <v/>
      </c>
    </row>
    <row r="83" spans="2:6" x14ac:dyDescent="0.35">
      <c r="B83">
        <v>81</v>
      </c>
      <c r="C83">
        <f t="shared" si="15"/>
        <v>10.558</v>
      </c>
      <c r="D83">
        <f t="shared" si="13"/>
        <v>1.2622</v>
      </c>
      <c r="E83" s="29">
        <f t="shared" si="16"/>
        <v>-1</v>
      </c>
      <c r="F83" s="14" t="str">
        <f t="shared" si="14"/>
        <v/>
      </c>
    </row>
    <row r="84" spans="2:6" x14ac:dyDescent="0.35">
      <c r="B84">
        <v>82</v>
      </c>
      <c r="C84">
        <f t="shared" si="15"/>
        <v>10.676</v>
      </c>
      <c r="D84">
        <f t="shared" si="13"/>
        <v>0.85129999999999995</v>
      </c>
      <c r="E84" s="29">
        <f t="shared" si="16"/>
        <v>-1</v>
      </c>
      <c r="F84" s="14" t="str">
        <f t="shared" si="14"/>
        <v/>
      </c>
    </row>
    <row r="85" spans="2:6" x14ac:dyDescent="0.35">
      <c r="B85">
        <v>83</v>
      </c>
      <c r="C85">
        <f t="shared" si="15"/>
        <v>10.794</v>
      </c>
      <c r="D85">
        <f t="shared" si="13"/>
        <v>0.45369999999999999</v>
      </c>
      <c r="E85" s="29">
        <f t="shared" si="16"/>
        <v>-1</v>
      </c>
      <c r="F85" s="14" t="str">
        <f t="shared" si="14"/>
        <v/>
      </c>
    </row>
    <row r="86" spans="2:6" x14ac:dyDescent="0.35">
      <c r="B86">
        <v>84</v>
      </c>
      <c r="C86">
        <f t="shared" si="15"/>
        <v>10.912000000000001</v>
      </c>
      <c r="D86">
        <f t="shared" si="13"/>
        <v>7.4899999999999994E-2</v>
      </c>
      <c r="E86" s="29">
        <f t="shared" si="16"/>
        <v>-1</v>
      </c>
      <c r="F86" s="14" t="str">
        <f t="shared" si="14"/>
        <v/>
      </c>
    </row>
    <row r="87" spans="2:6" x14ac:dyDescent="0.35">
      <c r="B87">
        <v>85</v>
      </c>
      <c r="C87">
        <f t="shared" si="15"/>
        <v>11.03</v>
      </c>
      <c r="D87">
        <f t="shared" si="13"/>
        <v>-0.2797</v>
      </c>
      <c r="E87" s="29">
        <f t="shared" si="16"/>
        <v>-1</v>
      </c>
      <c r="F87" s="14" t="str">
        <f t="shared" si="14"/>
        <v/>
      </c>
    </row>
    <row r="88" spans="2:6" x14ac:dyDescent="0.35">
      <c r="B88">
        <v>86</v>
      </c>
      <c r="C88">
        <f t="shared" si="15"/>
        <v>11.148</v>
      </c>
      <c r="D88">
        <f t="shared" si="13"/>
        <v>-0.60509999999999997</v>
      </c>
      <c r="E88" s="29">
        <f t="shared" si="16"/>
        <v>-1</v>
      </c>
      <c r="F88" s="14" t="str">
        <f t="shared" si="14"/>
        <v/>
      </c>
    </row>
    <row r="89" spans="2:6" x14ac:dyDescent="0.35">
      <c r="B89">
        <v>87</v>
      </c>
      <c r="C89">
        <f t="shared" si="15"/>
        <v>11.266</v>
      </c>
      <c r="D89">
        <f t="shared" si="13"/>
        <v>-0.89670000000000005</v>
      </c>
      <c r="E89" s="29">
        <f t="shared" si="16"/>
        <v>-1</v>
      </c>
      <c r="F89" s="14" t="str">
        <f t="shared" si="14"/>
        <v/>
      </c>
    </row>
    <row r="90" spans="2:6" x14ac:dyDescent="0.35">
      <c r="B90">
        <v>88</v>
      </c>
      <c r="C90">
        <f t="shared" si="15"/>
        <v>11.384</v>
      </c>
      <c r="D90">
        <f t="shared" si="13"/>
        <v>-1.1504000000000001</v>
      </c>
      <c r="E90" s="29">
        <f t="shared" si="16"/>
        <v>-1</v>
      </c>
      <c r="F90" s="14" t="str">
        <f t="shared" si="14"/>
        <v/>
      </c>
    </row>
    <row r="91" spans="2:6" x14ac:dyDescent="0.35">
      <c r="B91">
        <v>89</v>
      </c>
      <c r="C91">
        <f t="shared" si="15"/>
        <v>11.502000000000001</v>
      </c>
      <c r="D91">
        <f t="shared" si="13"/>
        <v>-1.3625</v>
      </c>
      <c r="E91" s="29">
        <f t="shared" si="16"/>
        <v>-1</v>
      </c>
      <c r="F91" s="14" t="str">
        <f t="shared" si="14"/>
        <v/>
      </c>
    </row>
    <row r="92" spans="2:6" x14ac:dyDescent="0.35">
      <c r="B92">
        <v>90</v>
      </c>
      <c r="C92">
        <f t="shared" si="15"/>
        <v>11.62</v>
      </c>
      <c r="D92">
        <f t="shared" si="13"/>
        <v>-1.5302</v>
      </c>
      <c r="E92" s="29">
        <f t="shared" si="16"/>
        <v>-1</v>
      </c>
      <c r="F92" s="14" t="str">
        <f t="shared" si="14"/>
        <v/>
      </c>
    </row>
    <row r="93" spans="2:6" x14ac:dyDescent="0.35">
      <c r="B93">
        <v>91</v>
      </c>
      <c r="C93">
        <f t="shared" si="15"/>
        <v>11.738</v>
      </c>
      <c r="D93">
        <f t="shared" si="13"/>
        <v>-1.6509</v>
      </c>
      <c r="E93" s="29">
        <f t="shared" si="16"/>
        <v>-1</v>
      </c>
      <c r="F93" s="14" t="str">
        <f t="shared" si="14"/>
        <v/>
      </c>
    </row>
    <row r="94" spans="2:6" ht="15" thickBot="1" x14ac:dyDescent="0.4">
      <c r="B94">
        <v>92</v>
      </c>
      <c r="C94">
        <f t="shared" si="15"/>
        <v>11.856</v>
      </c>
      <c r="D94">
        <f t="shared" si="13"/>
        <v>-1.7230000000000001</v>
      </c>
      <c r="E94" s="29">
        <f t="shared" si="16"/>
        <v>-1</v>
      </c>
      <c r="F94" s="14" t="str">
        <f t="shared" si="14"/>
        <v/>
      </c>
    </row>
    <row r="95" spans="2:6" ht="15" thickBot="1" x14ac:dyDescent="0.4">
      <c r="B95">
        <v>93</v>
      </c>
      <c r="C95">
        <f t="shared" si="15"/>
        <v>11.974</v>
      </c>
      <c r="D95">
        <f t="shared" si="13"/>
        <v>-1.7453000000000001</v>
      </c>
      <c r="E95" s="31">
        <f t="shared" si="16"/>
        <v>-1</v>
      </c>
      <c r="F95" s="14" t="str">
        <f t="shared" si="14"/>
        <v/>
      </c>
    </row>
    <row r="96" spans="2:6" x14ac:dyDescent="0.35">
      <c r="B96">
        <v>94</v>
      </c>
      <c r="C96">
        <f t="shared" si="15"/>
        <v>12.092000000000001</v>
      </c>
      <c r="D96">
        <f t="shared" si="13"/>
        <v>-1.7175</v>
      </c>
      <c r="E96" s="29">
        <f t="shared" si="16"/>
        <v>1</v>
      </c>
      <c r="F96" s="14" t="str">
        <f t="shared" si="14"/>
        <v/>
      </c>
    </row>
    <row r="97" spans="2:6" x14ac:dyDescent="0.35">
      <c r="B97">
        <v>95</v>
      </c>
      <c r="C97">
        <f t="shared" si="15"/>
        <v>12.21</v>
      </c>
      <c r="D97">
        <f t="shared" si="13"/>
        <v>-1.64</v>
      </c>
      <c r="E97" s="29">
        <f t="shared" si="16"/>
        <v>1</v>
      </c>
      <c r="F97" s="14" t="str">
        <f t="shared" si="14"/>
        <v/>
      </c>
    </row>
    <row r="98" spans="2:6" x14ac:dyDescent="0.35">
      <c r="B98">
        <v>96</v>
      </c>
      <c r="C98">
        <f t="shared" si="15"/>
        <v>12.327999999999999</v>
      </c>
      <c r="D98">
        <f t="shared" si="13"/>
        <v>-1.5136000000000001</v>
      </c>
      <c r="E98" s="29">
        <f t="shared" si="16"/>
        <v>1</v>
      </c>
      <c r="F98" s="14" t="str">
        <f t="shared" si="14"/>
        <v/>
      </c>
    </row>
    <row r="99" spans="2:6" x14ac:dyDescent="0.35">
      <c r="B99">
        <v>97</v>
      </c>
      <c r="C99">
        <f t="shared" si="15"/>
        <v>12.446</v>
      </c>
      <c r="D99">
        <f t="shared" si="13"/>
        <v>-1.3402000000000001</v>
      </c>
      <c r="E99" s="29">
        <f t="shared" si="16"/>
        <v>1</v>
      </c>
      <c r="F99" s="14" t="str">
        <f t="shared" si="14"/>
        <v/>
      </c>
    </row>
    <row r="100" spans="2:6" x14ac:dyDescent="0.35">
      <c r="B100">
        <v>98</v>
      </c>
      <c r="C100">
        <f t="shared" si="15"/>
        <v>12.564</v>
      </c>
      <c r="D100">
        <f t="shared" si="13"/>
        <v>-1.1220000000000001</v>
      </c>
      <c r="E100" s="29">
        <f t="shared" si="16"/>
        <v>1</v>
      </c>
      <c r="F100" s="14" t="str">
        <f t="shared" si="14"/>
        <v/>
      </c>
    </row>
    <row r="101" spans="2:6" x14ac:dyDescent="0.35">
      <c r="B101">
        <v>99</v>
      </c>
      <c r="C101">
        <f t="shared" si="15"/>
        <v>12.682</v>
      </c>
      <c r="D101">
        <f t="shared" si="13"/>
        <v>-0.86209999999999998</v>
      </c>
      <c r="E101" s="29">
        <f t="shared" si="16"/>
        <v>1</v>
      </c>
      <c r="F101" s="14" t="str">
        <f t="shared" si="14"/>
        <v/>
      </c>
    </row>
    <row r="102" spans="2:6" x14ac:dyDescent="0.35">
      <c r="B102">
        <v>100</v>
      </c>
      <c r="C102">
        <f t="shared" si="15"/>
        <v>12.8</v>
      </c>
      <c r="D102">
        <f t="shared" si="13"/>
        <v>-0.56399999999999995</v>
      </c>
      <c r="E102" s="29">
        <f t="shared" si="16"/>
        <v>1</v>
      </c>
      <c r="F102" s="14" t="str">
        <f t="shared" si="14"/>
        <v/>
      </c>
    </row>
    <row r="103" spans="2:6" x14ac:dyDescent="0.35">
      <c r="B103">
        <v>101</v>
      </c>
      <c r="C103">
        <f t="shared" si="15"/>
        <v>12.917999999999999</v>
      </c>
      <c r="D103">
        <f t="shared" si="13"/>
        <v>-0.23180000000000001</v>
      </c>
      <c r="E103" s="29">
        <f t="shared" si="16"/>
        <v>1</v>
      </c>
      <c r="F103" s="14" t="str">
        <f t="shared" si="14"/>
        <v/>
      </c>
    </row>
    <row r="104" spans="2:6" x14ac:dyDescent="0.35">
      <c r="B104">
        <v>102</v>
      </c>
      <c r="C104">
        <f t="shared" si="15"/>
        <v>13.036</v>
      </c>
      <c r="D104">
        <f t="shared" si="13"/>
        <v>0.13</v>
      </c>
      <c r="E104" s="29">
        <f t="shared" si="16"/>
        <v>1</v>
      </c>
      <c r="F104" s="14" t="str">
        <f t="shared" si="14"/>
        <v/>
      </c>
    </row>
    <row r="105" spans="2:6" x14ac:dyDescent="0.35">
      <c r="B105">
        <v>103</v>
      </c>
      <c r="C105">
        <f t="shared" si="15"/>
        <v>13.154</v>
      </c>
      <c r="D105">
        <f t="shared" si="13"/>
        <v>0.51639999999999997</v>
      </c>
      <c r="E105" s="29">
        <f t="shared" si="16"/>
        <v>1</v>
      </c>
      <c r="F105" s="14" t="str">
        <f t="shared" si="14"/>
        <v/>
      </c>
    </row>
    <row r="106" spans="2:6" x14ac:dyDescent="0.35">
      <c r="B106">
        <v>104</v>
      </c>
      <c r="C106">
        <f t="shared" si="15"/>
        <v>13.272</v>
      </c>
      <c r="D106">
        <f t="shared" si="13"/>
        <v>0.92210000000000003</v>
      </c>
      <c r="E106" s="29">
        <f t="shared" si="16"/>
        <v>1</v>
      </c>
      <c r="F106" s="14" t="str">
        <f t="shared" si="14"/>
        <v/>
      </c>
    </row>
    <row r="107" spans="2:6" x14ac:dyDescent="0.35">
      <c r="B107">
        <v>105</v>
      </c>
      <c r="C107">
        <f t="shared" si="15"/>
        <v>13.39</v>
      </c>
      <c r="D107">
        <f t="shared" si="13"/>
        <v>1.3414999999999999</v>
      </c>
      <c r="E107" s="29">
        <f t="shared" si="16"/>
        <v>1</v>
      </c>
      <c r="F107" s="14" t="str">
        <f t="shared" si="14"/>
        <v/>
      </c>
    </row>
    <row r="108" spans="2:6" x14ac:dyDescent="0.35">
      <c r="B108">
        <v>106</v>
      </c>
      <c r="C108">
        <f t="shared" si="15"/>
        <v>13.507999999999999</v>
      </c>
      <c r="D108">
        <f t="shared" si="13"/>
        <v>1.7686999999999999</v>
      </c>
      <c r="E108" s="29">
        <f t="shared" si="16"/>
        <v>1</v>
      </c>
      <c r="F108" s="14" t="str">
        <f t="shared" si="14"/>
        <v/>
      </c>
    </row>
    <row r="109" spans="2:6" x14ac:dyDescent="0.35">
      <c r="B109">
        <v>107</v>
      </c>
      <c r="C109">
        <f t="shared" si="15"/>
        <v>13.625999999999999</v>
      </c>
      <c r="D109">
        <f t="shared" si="13"/>
        <v>2.198</v>
      </c>
      <c r="E109" s="29">
        <f t="shared" si="16"/>
        <v>1</v>
      </c>
      <c r="F109" s="14" t="str">
        <f t="shared" si="14"/>
        <v/>
      </c>
    </row>
    <row r="110" spans="2:6" x14ac:dyDescent="0.35">
      <c r="B110">
        <v>108</v>
      </c>
      <c r="C110">
        <f t="shared" si="15"/>
        <v>13.744</v>
      </c>
      <c r="D110">
        <f t="shared" si="13"/>
        <v>2.6234999999999999</v>
      </c>
      <c r="E110" s="29">
        <f t="shared" si="16"/>
        <v>1</v>
      </c>
      <c r="F110" s="14">
        <f t="shared" si="14"/>
        <v>1</v>
      </c>
    </row>
    <row r="111" spans="2:6" x14ac:dyDescent="0.35">
      <c r="B111">
        <v>109</v>
      </c>
      <c r="C111">
        <f t="shared" si="15"/>
        <v>13.862</v>
      </c>
      <c r="D111">
        <f t="shared" si="13"/>
        <v>3.0392000000000001</v>
      </c>
      <c r="E111" s="29">
        <f t="shared" si="16"/>
        <v>1</v>
      </c>
      <c r="F111" s="14" t="str">
        <f t="shared" si="14"/>
        <v/>
      </c>
    </row>
    <row r="112" spans="2:6" x14ac:dyDescent="0.35">
      <c r="B112">
        <v>110</v>
      </c>
      <c r="C112">
        <f t="shared" si="15"/>
        <v>13.98</v>
      </c>
      <c r="D112">
        <f t="shared" si="13"/>
        <v>3.4394</v>
      </c>
      <c r="E112" s="29">
        <f t="shared" si="16"/>
        <v>1</v>
      </c>
      <c r="F112" s="14" t="str">
        <f t="shared" si="14"/>
        <v/>
      </c>
    </row>
    <row r="113" spans="2:6" x14ac:dyDescent="0.35">
      <c r="B113">
        <v>111</v>
      </c>
      <c r="C113">
        <f t="shared" si="15"/>
        <v>14.098000000000001</v>
      </c>
      <c r="D113">
        <f t="shared" si="13"/>
        <v>3.8187000000000002</v>
      </c>
      <c r="E113" s="29">
        <f t="shared" si="16"/>
        <v>1</v>
      </c>
      <c r="F113" s="14" t="str">
        <f t="shared" si="14"/>
        <v/>
      </c>
    </row>
    <row r="114" spans="2:6" x14ac:dyDescent="0.35">
      <c r="B114">
        <v>112</v>
      </c>
      <c r="C114">
        <f t="shared" si="15"/>
        <v>14.215999999999999</v>
      </c>
      <c r="D114">
        <f t="shared" si="13"/>
        <v>4.1718000000000002</v>
      </c>
      <c r="E114" s="29">
        <f t="shared" si="16"/>
        <v>1</v>
      </c>
      <c r="F114" s="14" t="str">
        <f t="shared" si="14"/>
        <v/>
      </c>
    </row>
    <row r="115" spans="2:6" x14ac:dyDescent="0.35">
      <c r="B115">
        <v>113</v>
      </c>
      <c r="C115">
        <f t="shared" si="15"/>
        <v>14.334</v>
      </c>
      <c r="D115">
        <f t="shared" si="13"/>
        <v>4.4938000000000002</v>
      </c>
      <c r="E115" s="29">
        <f t="shared" si="16"/>
        <v>1</v>
      </c>
      <c r="F115" s="14" t="str">
        <f t="shared" si="14"/>
        <v/>
      </c>
    </row>
    <row r="116" spans="2:6" x14ac:dyDescent="0.35">
      <c r="B116">
        <v>114</v>
      </c>
      <c r="C116">
        <f t="shared" si="15"/>
        <v>14.452</v>
      </c>
      <c r="D116">
        <f t="shared" si="13"/>
        <v>4.7804000000000002</v>
      </c>
      <c r="E116" s="29">
        <f t="shared" si="16"/>
        <v>1</v>
      </c>
      <c r="F116" s="14" t="str">
        <f t="shared" si="14"/>
        <v/>
      </c>
    </row>
    <row r="117" spans="2:6" x14ac:dyDescent="0.35">
      <c r="B117">
        <v>115</v>
      </c>
      <c r="C117">
        <f t="shared" si="15"/>
        <v>14.57</v>
      </c>
      <c r="D117">
        <f t="shared" si="13"/>
        <v>5.0275999999999996</v>
      </c>
      <c r="E117" s="29">
        <f t="shared" si="16"/>
        <v>1</v>
      </c>
      <c r="F117" s="14" t="str">
        <f t="shared" si="14"/>
        <v/>
      </c>
    </row>
    <row r="118" spans="2:6" x14ac:dyDescent="0.35">
      <c r="B118">
        <v>116</v>
      </c>
      <c r="C118">
        <f t="shared" si="15"/>
        <v>14.688000000000001</v>
      </c>
      <c r="D118">
        <f t="shared" si="13"/>
        <v>5.2320000000000002</v>
      </c>
      <c r="E118" s="29">
        <f t="shared" si="16"/>
        <v>1</v>
      </c>
      <c r="F118" s="14" t="str">
        <f t="shared" si="14"/>
        <v/>
      </c>
    </row>
    <row r="119" spans="2:6" x14ac:dyDescent="0.35">
      <c r="B119">
        <v>117</v>
      </c>
      <c r="C119">
        <f t="shared" si="15"/>
        <v>14.805999999999999</v>
      </c>
      <c r="D119">
        <f t="shared" si="13"/>
        <v>5.3909000000000002</v>
      </c>
      <c r="E119" s="29">
        <f t="shared" si="16"/>
        <v>1</v>
      </c>
      <c r="F119" s="14" t="str">
        <f t="shared" si="14"/>
        <v/>
      </c>
    </row>
    <row r="120" spans="2:6" x14ac:dyDescent="0.35">
      <c r="B120">
        <v>118</v>
      </c>
      <c r="C120">
        <f t="shared" si="15"/>
        <v>14.923999999999999</v>
      </c>
      <c r="D120">
        <f t="shared" si="13"/>
        <v>5.5019999999999998</v>
      </c>
      <c r="E120" s="29">
        <f t="shared" si="16"/>
        <v>1</v>
      </c>
      <c r="F120" s="14" t="str">
        <f t="shared" si="14"/>
        <v/>
      </c>
    </row>
    <row r="121" spans="2:6" ht="15" thickBot="1" x14ac:dyDescent="0.4">
      <c r="B121">
        <v>119</v>
      </c>
      <c r="C121">
        <f t="shared" si="15"/>
        <v>15.042</v>
      </c>
      <c r="D121">
        <f t="shared" si="13"/>
        <v>5.5640000000000001</v>
      </c>
      <c r="E121" s="29">
        <f t="shared" si="16"/>
        <v>1</v>
      </c>
      <c r="F121" s="14" t="str">
        <f t="shared" si="14"/>
        <v/>
      </c>
    </row>
    <row r="122" spans="2:6" ht="15" thickBot="1" x14ac:dyDescent="0.4">
      <c r="B122">
        <v>120</v>
      </c>
      <c r="C122">
        <f t="shared" si="15"/>
        <v>15.16</v>
      </c>
      <c r="D122">
        <f t="shared" si="13"/>
        <v>5.5758999999999999</v>
      </c>
      <c r="E122" s="31">
        <f t="shared" si="16"/>
        <v>1</v>
      </c>
      <c r="F122" s="14" t="str">
        <f t="shared" si="14"/>
        <v/>
      </c>
    </row>
    <row r="123" spans="2:6" x14ac:dyDescent="0.35">
      <c r="B123">
        <v>121</v>
      </c>
      <c r="C123">
        <f t="shared" si="15"/>
        <v>15.278</v>
      </c>
      <c r="D123">
        <f t="shared" si="13"/>
        <v>5.5377000000000001</v>
      </c>
      <c r="E123" s="29">
        <f t="shared" si="16"/>
        <v>-1</v>
      </c>
      <c r="F123" s="14" t="str">
        <f t="shared" si="14"/>
        <v/>
      </c>
    </row>
    <row r="124" spans="2:6" x14ac:dyDescent="0.35">
      <c r="B124">
        <v>122</v>
      </c>
      <c r="C124">
        <f t="shared" si="15"/>
        <v>15.396000000000001</v>
      </c>
      <c r="D124">
        <f t="shared" si="13"/>
        <v>5.4499000000000004</v>
      </c>
      <c r="E124" s="29">
        <f t="shared" si="16"/>
        <v>-1</v>
      </c>
      <c r="F124" s="14" t="str">
        <f t="shared" si="14"/>
        <v/>
      </c>
    </row>
    <row r="125" spans="2:6" x14ac:dyDescent="0.35">
      <c r="B125">
        <v>123</v>
      </c>
      <c r="C125">
        <f t="shared" si="15"/>
        <v>15.513999999999999</v>
      </c>
      <c r="D125">
        <f t="shared" si="13"/>
        <v>5.3139000000000003</v>
      </c>
      <c r="E125" s="29">
        <f t="shared" si="16"/>
        <v>-1</v>
      </c>
      <c r="F125" s="14" t="str">
        <f t="shared" si="14"/>
        <v/>
      </c>
    </row>
    <row r="126" spans="2:6" x14ac:dyDescent="0.35">
      <c r="B126">
        <v>124</v>
      </c>
      <c r="C126">
        <f t="shared" si="15"/>
        <v>15.632</v>
      </c>
      <c r="D126">
        <f t="shared" si="13"/>
        <v>5.1315</v>
      </c>
      <c r="E126" s="29">
        <f t="shared" si="16"/>
        <v>-1</v>
      </c>
      <c r="F126" s="14" t="str">
        <f t="shared" si="14"/>
        <v/>
      </c>
    </row>
    <row r="127" spans="2:6" x14ac:dyDescent="0.35">
      <c r="B127">
        <v>125</v>
      </c>
      <c r="C127">
        <f t="shared" si="15"/>
        <v>15.75</v>
      </c>
      <c r="D127">
        <f t="shared" si="13"/>
        <v>4.9054000000000002</v>
      </c>
      <c r="E127" s="29">
        <f t="shared" si="16"/>
        <v>-1</v>
      </c>
      <c r="F127" s="14" t="str">
        <f t="shared" si="14"/>
        <v/>
      </c>
    </row>
    <row r="128" spans="2:6" x14ac:dyDescent="0.35">
      <c r="B128">
        <v>126</v>
      </c>
      <c r="C128">
        <f t="shared" si="15"/>
        <v>15.868</v>
      </c>
      <c r="D128">
        <f t="shared" si="13"/>
        <v>4.6387999999999998</v>
      </c>
      <c r="E128" s="29">
        <f t="shared" si="16"/>
        <v>-1</v>
      </c>
      <c r="F128" s="14" t="str">
        <f t="shared" si="14"/>
        <v/>
      </c>
    </row>
    <row r="129" spans="2:6" x14ac:dyDescent="0.35">
      <c r="B129">
        <v>127</v>
      </c>
      <c r="C129">
        <f t="shared" si="15"/>
        <v>15.986000000000001</v>
      </c>
      <c r="D129">
        <f t="shared" si="13"/>
        <v>4.3353999999999999</v>
      </c>
      <c r="E129" s="29">
        <f t="shared" si="16"/>
        <v>-1</v>
      </c>
      <c r="F129" s="14" t="str">
        <f t="shared" si="14"/>
        <v/>
      </c>
    </row>
    <row r="130" spans="2:6" x14ac:dyDescent="0.35">
      <c r="B130">
        <v>128</v>
      </c>
      <c r="C130">
        <f t="shared" si="15"/>
        <v>16.103999999999999</v>
      </c>
      <c r="D130">
        <f t="shared" si="13"/>
        <v>3.9994999999999998</v>
      </c>
      <c r="E130" s="29">
        <f t="shared" si="16"/>
        <v>-1</v>
      </c>
      <c r="F130" s="14" t="str">
        <f t="shared" si="14"/>
        <v/>
      </c>
    </row>
    <row r="131" spans="2:6" x14ac:dyDescent="0.35">
      <c r="B131">
        <v>129</v>
      </c>
      <c r="C131">
        <f t="shared" si="15"/>
        <v>16.222000000000001</v>
      </c>
      <c r="D131">
        <f t="shared" ref="D131:D194" si="17">ROUND(POWER(C131,1/4)+2*SIN(C131)-3*COS(C131),4)</f>
        <v>3.6358000000000001</v>
      </c>
      <c r="E131" s="29">
        <f t="shared" si="16"/>
        <v>-1</v>
      </c>
      <c r="F131" s="14" t="str">
        <f t="shared" ref="F131:F194" si="18">IF((D131-$F$1)*(D132-$F$1)&lt;0,1,"")</f>
        <v/>
      </c>
    </row>
    <row r="132" spans="2:6" x14ac:dyDescent="0.35">
      <c r="B132">
        <v>130</v>
      </c>
      <c r="C132">
        <f t="shared" ref="C132:C195" si="19">ROUND(C131+$C$1,4)</f>
        <v>16.34</v>
      </c>
      <c r="D132">
        <f t="shared" si="17"/>
        <v>3.2494000000000001</v>
      </c>
      <c r="E132" s="29">
        <f t="shared" ref="E132:E195" si="20">IF(D132-D131&gt;0,1,IF(D132-D131&lt;0,-1,0))</f>
        <v>-1</v>
      </c>
      <c r="F132" s="14">
        <f t="shared" si="18"/>
        <v>1</v>
      </c>
    </row>
    <row r="133" spans="2:6" x14ac:dyDescent="0.35">
      <c r="B133">
        <v>131</v>
      </c>
      <c r="C133">
        <f t="shared" si="19"/>
        <v>16.457999999999998</v>
      </c>
      <c r="D133">
        <f t="shared" si="17"/>
        <v>2.8458000000000001</v>
      </c>
      <c r="E133" s="29">
        <f t="shared" si="20"/>
        <v>-1</v>
      </c>
      <c r="F133" s="14" t="str">
        <f t="shared" si="18"/>
        <v/>
      </c>
    </row>
    <row r="134" spans="2:6" x14ac:dyDescent="0.35">
      <c r="B134">
        <v>132</v>
      </c>
      <c r="C134">
        <f t="shared" si="19"/>
        <v>16.576000000000001</v>
      </c>
      <c r="D134">
        <f t="shared" si="17"/>
        <v>2.4306000000000001</v>
      </c>
      <c r="E134" s="29">
        <f t="shared" si="20"/>
        <v>-1</v>
      </c>
      <c r="F134" s="14" t="str">
        <f t="shared" si="18"/>
        <v/>
      </c>
    </row>
    <row r="135" spans="2:6" x14ac:dyDescent="0.35">
      <c r="B135">
        <v>133</v>
      </c>
      <c r="C135">
        <f t="shared" si="19"/>
        <v>16.693999999999999</v>
      </c>
      <c r="D135">
        <f t="shared" si="17"/>
        <v>2.0097</v>
      </c>
      <c r="E135" s="29">
        <f t="shared" si="20"/>
        <v>-1</v>
      </c>
      <c r="F135" s="14" t="str">
        <f t="shared" si="18"/>
        <v/>
      </c>
    </row>
    <row r="136" spans="2:6" x14ac:dyDescent="0.35">
      <c r="B136">
        <v>134</v>
      </c>
      <c r="C136">
        <f t="shared" si="19"/>
        <v>16.812000000000001</v>
      </c>
      <c r="D136">
        <f t="shared" si="17"/>
        <v>1.5888</v>
      </c>
      <c r="E136" s="29">
        <f t="shared" si="20"/>
        <v>-1</v>
      </c>
      <c r="F136" s="14" t="str">
        <f t="shared" si="18"/>
        <v/>
      </c>
    </row>
    <row r="137" spans="2:6" x14ac:dyDescent="0.35">
      <c r="B137">
        <v>135</v>
      </c>
      <c r="C137">
        <f t="shared" si="19"/>
        <v>16.93</v>
      </c>
      <c r="D137">
        <f t="shared" si="17"/>
        <v>1.1740999999999999</v>
      </c>
      <c r="E137" s="29">
        <f t="shared" si="20"/>
        <v>-1</v>
      </c>
      <c r="F137" s="14" t="str">
        <f t="shared" si="18"/>
        <v/>
      </c>
    </row>
    <row r="138" spans="2:6" x14ac:dyDescent="0.35">
      <c r="B138">
        <v>136</v>
      </c>
      <c r="C138">
        <f t="shared" si="19"/>
        <v>17.047999999999998</v>
      </c>
      <c r="D138">
        <f t="shared" si="17"/>
        <v>0.77110000000000001</v>
      </c>
      <c r="E138" s="29">
        <f t="shared" si="20"/>
        <v>-1</v>
      </c>
      <c r="F138" s="14" t="str">
        <f t="shared" si="18"/>
        <v/>
      </c>
    </row>
    <row r="139" spans="2:6" x14ac:dyDescent="0.35">
      <c r="B139">
        <v>137</v>
      </c>
      <c r="C139">
        <f t="shared" si="19"/>
        <v>17.166</v>
      </c>
      <c r="D139">
        <f t="shared" si="17"/>
        <v>0.38569999999999999</v>
      </c>
      <c r="E139" s="29">
        <f t="shared" si="20"/>
        <v>-1</v>
      </c>
      <c r="F139" s="14" t="str">
        <f t="shared" si="18"/>
        <v/>
      </c>
    </row>
    <row r="140" spans="2:6" x14ac:dyDescent="0.35">
      <c r="B140">
        <v>138</v>
      </c>
      <c r="C140">
        <f t="shared" si="19"/>
        <v>17.283999999999999</v>
      </c>
      <c r="D140">
        <f t="shared" si="17"/>
        <v>2.3300000000000001E-2</v>
      </c>
      <c r="E140" s="29">
        <f t="shared" si="20"/>
        <v>-1</v>
      </c>
      <c r="F140" s="14" t="str">
        <f t="shared" si="18"/>
        <v/>
      </c>
    </row>
    <row r="141" spans="2:6" x14ac:dyDescent="0.35">
      <c r="B141">
        <v>139</v>
      </c>
      <c r="C141">
        <f t="shared" si="19"/>
        <v>17.402000000000001</v>
      </c>
      <c r="D141">
        <f t="shared" si="17"/>
        <v>-0.31119999999999998</v>
      </c>
      <c r="E141" s="29">
        <f t="shared" si="20"/>
        <v>-1</v>
      </c>
      <c r="F141" s="14" t="str">
        <f t="shared" si="18"/>
        <v/>
      </c>
    </row>
    <row r="142" spans="2:6" x14ac:dyDescent="0.35">
      <c r="B142">
        <v>140</v>
      </c>
      <c r="C142">
        <f t="shared" si="19"/>
        <v>17.52</v>
      </c>
      <c r="D142">
        <f t="shared" si="17"/>
        <v>-0.6129</v>
      </c>
      <c r="E142" s="29">
        <f t="shared" si="20"/>
        <v>-1</v>
      </c>
      <c r="F142" s="14" t="str">
        <f t="shared" si="18"/>
        <v/>
      </c>
    </row>
    <row r="143" spans="2:6" x14ac:dyDescent="0.35">
      <c r="B143">
        <v>141</v>
      </c>
      <c r="C143">
        <f t="shared" si="19"/>
        <v>17.638000000000002</v>
      </c>
      <c r="D143">
        <f t="shared" si="17"/>
        <v>-0.87770000000000004</v>
      </c>
      <c r="E143" s="29">
        <f t="shared" si="20"/>
        <v>-1</v>
      </c>
      <c r="F143" s="14" t="str">
        <f t="shared" si="18"/>
        <v/>
      </c>
    </row>
    <row r="144" spans="2:6" x14ac:dyDescent="0.35">
      <c r="B144">
        <v>142</v>
      </c>
      <c r="C144">
        <f t="shared" si="19"/>
        <v>17.756</v>
      </c>
      <c r="D144">
        <f t="shared" si="17"/>
        <v>-1.1017999999999999</v>
      </c>
      <c r="E144" s="29">
        <f t="shared" si="20"/>
        <v>-1</v>
      </c>
      <c r="F144" s="14" t="str">
        <f t="shared" si="18"/>
        <v/>
      </c>
    </row>
    <row r="145" spans="2:6" x14ac:dyDescent="0.35">
      <c r="B145">
        <v>143</v>
      </c>
      <c r="C145">
        <f t="shared" si="19"/>
        <v>17.873999999999999</v>
      </c>
      <c r="D145">
        <f t="shared" si="17"/>
        <v>-1.282</v>
      </c>
      <c r="E145" s="29">
        <f t="shared" si="20"/>
        <v>-1</v>
      </c>
      <c r="F145" s="14" t="str">
        <f t="shared" si="18"/>
        <v/>
      </c>
    </row>
    <row r="146" spans="2:6" x14ac:dyDescent="0.35">
      <c r="B146">
        <v>144</v>
      </c>
      <c r="C146">
        <f t="shared" si="19"/>
        <v>17.992000000000001</v>
      </c>
      <c r="D146">
        <f t="shared" si="17"/>
        <v>-1.4157999999999999</v>
      </c>
      <c r="E146" s="29">
        <f t="shared" si="20"/>
        <v>-1</v>
      </c>
      <c r="F146" s="14" t="str">
        <f t="shared" si="18"/>
        <v/>
      </c>
    </row>
    <row r="147" spans="2:6" ht="15" thickBot="1" x14ac:dyDescent="0.4">
      <c r="B147">
        <v>145</v>
      </c>
      <c r="C147">
        <f t="shared" si="19"/>
        <v>18.11</v>
      </c>
      <c r="D147">
        <f t="shared" si="17"/>
        <v>-1.5013000000000001</v>
      </c>
      <c r="E147" s="29">
        <f t="shared" si="20"/>
        <v>-1</v>
      </c>
      <c r="F147" s="14" t="str">
        <f t="shared" si="18"/>
        <v/>
      </c>
    </row>
    <row r="148" spans="2:6" ht="15" thickBot="1" x14ac:dyDescent="0.4">
      <c r="B148">
        <v>146</v>
      </c>
      <c r="C148">
        <f t="shared" si="19"/>
        <v>18.228000000000002</v>
      </c>
      <c r="D148">
        <f t="shared" si="17"/>
        <v>-1.5373000000000001</v>
      </c>
      <c r="E148" s="31">
        <f t="shared" si="20"/>
        <v>-1</v>
      </c>
      <c r="F148" s="14" t="str">
        <f t="shared" si="18"/>
        <v/>
      </c>
    </row>
    <row r="149" spans="2:6" x14ac:dyDescent="0.35">
      <c r="B149">
        <v>147</v>
      </c>
      <c r="C149">
        <f t="shared" si="19"/>
        <v>18.346</v>
      </c>
      <c r="D149">
        <f t="shared" si="17"/>
        <v>-1.5230999999999999</v>
      </c>
      <c r="E149" s="29">
        <f t="shared" si="20"/>
        <v>1</v>
      </c>
      <c r="F149" s="14" t="str">
        <f t="shared" si="18"/>
        <v/>
      </c>
    </row>
    <row r="150" spans="2:6" x14ac:dyDescent="0.35">
      <c r="B150">
        <v>148</v>
      </c>
      <c r="C150">
        <f t="shared" si="19"/>
        <v>18.463999999999999</v>
      </c>
      <c r="D150">
        <f t="shared" si="17"/>
        <v>-1.4590000000000001</v>
      </c>
      <c r="E150" s="29">
        <f t="shared" si="20"/>
        <v>1</v>
      </c>
      <c r="F150" s="14" t="str">
        <f t="shared" si="18"/>
        <v/>
      </c>
    </row>
    <row r="151" spans="2:6" x14ac:dyDescent="0.35">
      <c r="B151">
        <v>149</v>
      </c>
      <c r="C151">
        <f t="shared" si="19"/>
        <v>18.582000000000001</v>
      </c>
      <c r="D151">
        <f t="shared" si="17"/>
        <v>-1.3458000000000001</v>
      </c>
      <c r="E151" s="29">
        <f t="shared" si="20"/>
        <v>1</v>
      </c>
      <c r="F151" s="14" t="str">
        <f t="shared" si="18"/>
        <v/>
      </c>
    </row>
    <row r="152" spans="2:6" x14ac:dyDescent="0.35">
      <c r="B152">
        <v>150</v>
      </c>
      <c r="C152">
        <f t="shared" si="19"/>
        <v>18.7</v>
      </c>
      <c r="D152">
        <f t="shared" si="17"/>
        <v>-1.1850000000000001</v>
      </c>
      <c r="E152" s="29">
        <f t="shared" si="20"/>
        <v>1</v>
      </c>
      <c r="F152" s="14" t="str">
        <f t="shared" si="18"/>
        <v/>
      </c>
    </row>
    <row r="153" spans="2:6" x14ac:dyDescent="0.35">
      <c r="B153">
        <v>151</v>
      </c>
      <c r="C153">
        <f t="shared" si="19"/>
        <v>18.818000000000001</v>
      </c>
      <c r="D153">
        <f t="shared" si="17"/>
        <v>-0.9788</v>
      </c>
      <c r="E153" s="29">
        <f t="shared" si="20"/>
        <v>1</v>
      </c>
      <c r="F153" s="14" t="str">
        <f t="shared" si="18"/>
        <v/>
      </c>
    </row>
    <row r="154" spans="2:6" x14ac:dyDescent="0.35">
      <c r="B154">
        <v>152</v>
      </c>
      <c r="C154">
        <f t="shared" si="19"/>
        <v>18.936</v>
      </c>
      <c r="D154">
        <f t="shared" si="17"/>
        <v>-0.73009999999999997</v>
      </c>
      <c r="E154" s="29">
        <f t="shared" si="20"/>
        <v>1</v>
      </c>
      <c r="F154" s="14" t="str">
        <f t="shared" si="18"/>
        <v/>
      </c>
    </row>
    <row r="155" spans="2:6" x14ac:dyDescent="0.35">
      <c r="B155">
        <v>153</v>
      </c>
      <c r="C155">
        <f t="shared" si="19"/>
        <v>19.053999999999998</v>
      </c>
      <c r="D155">
        <f t="shared" si="17"/>
        <v>-0.44219999999999998</v>
      </c>
      <c r="E155" s="29">
        <f t="shared" si="20"/>
        <v>1</v>
      </c>
      <c r="F155" s="14" t="str">
        <f t="shared" si="18"/>
        <v/>
      </c>
    </row>
    <row r="156" spans="2:6" x14ac:dyDescent="0.35">
      <c r="B156">
        <v>154</v>
      </c>
      <c r="C156">
        <f t="shared" si="19"/>
        <v>19.172000000000001</v>
      </c>
      <c r="D156">
        <f t="shared" si="17"/>
        <v>-0.1191</v>
      </c>
      <c r="E156" s="29">
        <f t="shared" si="20"/>
        <v>1</v>
      </c>
      <c r="F156" s="14" t="str">
        <f t="shared" si="18"/>
        <v/>
      </c>
    </row>
    <row r="157" spans="2:6" x14ac:dyDescent="0.35">
      <c r="B157">
        <v>155</v>
      </c>
      <c r="C157">
        <f t="shared" si="19"/>
        <v>19.29</v>
      </c>
      <c r="D157">
        <f t="shared" si="17"/>
        <v>0.23469999999999999</v>
      </c>
      <c r="E157" s="29">
        <f t="shared" si="20"/>
        <v>1</v>
      </c>
      <c r="F157" s="14" t="str">
        <f t="shared" si="18"/>
        <v/>
      </c>
    </row>
    <row r="158" spans="2:6" x14ac:dyDescent="0.35">
      <c r="B158">
        <v>156</v>
      </c>
      <c r="C158">
        <f t="shared" si="19"/>
        <v>19.408000000000001</v>
      </c>
      <c r="D158">
        <f t="shared" si="17"/>
        <v>0.61439999999999995</v>
      </c>
      <c r="E158" s="29">
        <f t="shared" si="20"/>
        <v>1</v>
      </c>
      <c r="F158" s="14" t="str">
        <f t="shared" si="18"/>
        <v/>
      </c>
    </row>
    <row r="159" spans="2:6" x14ac:dyDescent="0.35">
      <c r="B159">
        <v>157</v>
      </c>
      <c r="C159">
        <f t="shared" si="19"/>
        <v>19.526</v>
      </c>
      <c r="D159">
        <f t="shared" si="17"/>
        <v>1.0146999999999999</v>
      </c>
      <c r="E159" s="29">
        <f t="shared" si="20"/>
        <v>1</v>
      </c>
      <c r="F159" s="14" t="str">
        <f t="shared" si="18"/>
        <v/>
      </c>
    </row>
    <row r="160" spans="2:6" x14ac:dyDescent="0.35">
      <c r="B160">
        <v>158</v>
      </c>
      <c r="C160">
        <f t="shared" si="19"/>
        <v>19.643999999999998</v>
      </c>
      <c r="D160">
        <f t="shared" si="17"/>
        <v>1.4301999999999999</v>
      </c>
      <c r="E160" s="29">
        <f t="shared" si="20"/>
        <v>1</v>
      </c>
      <c r="F160" s="14" t="str">
        <f t="shared" si="18"/>
        <v/>
      </c>
    </row>
    <row r="161" spans="2:6" x14ac:dyDescent="0.35">
      <c r="B161">
        <v>159</v>
      </c>
      <c r="C161">
        <f t="shared" si="19"/>
        <v>19.762</v>
      </c>
      <c r="D161">
        <f t="shared" si="17"/>
        <v>1.855</v>
      </c>
      <c r="E161" s="29">
        <f t="shared" si="20"/>
        <v>1</v>
      </c>
      <c r="F161" s="14" t="str">
        <f t="shared" si="18"/>
        <v/>
      </c>
    </row>
    <row r="162" spans="2:6" x14ac:dyDescent="0.35">
      <c r="B162">
        <v>160</v>
      </c>
      <c r="C162">
        <f t="shared" si="19"/>
        <v>19.88</v>
      </c>
      <c r="D162">
        <f t="shared" si="17"/>
        <v>2.2833000000000001</v>
      </c>
      <c r="E162" s="29">
        <f t="shared" si="20"/>
        <v>1</v>
      </c>
      <c r="F162" s="14" t="str">
        <f t="shared" si="18"/>
        <v/>
      </c>
    </row>
    <row r="163" spans="2:6" x14ac:dyDescent="0.35">
      <c r="B163">
        <v>161</v>
      </c>
      <c r="C163">
        <f t="shared" si="19"/>
        <v>19.998000000000001</v>
      </c>
      <c r="D163">
        <f t="shared" si="17"/>
        <v>2.7092000000000001</v>
      </c>
      <c r="E163" s="29">
        <f t="shared" si="20"/>
        <v>1</v>
      </c>
      <c r="F163" s="14">
        <f t="shared" si="18"/>
        <v>1</v>
      </c>
    </row>
    <row r="164" spans="2:6" x14ac:dyDescent="0.35">
      <c r="B164">
        <v>162</v>
      </c>
      <c r="C164">
        <f t="shared" si="19"/>
        <v>20.116</v>
      </c>
      <c r="D164">
        <f t="shared" si="17"/>
        <v>3.1269</v>
      </c>
      <c r="E164" s="29">
        <f t="shared" si="20"/>
        <v>1</v>
      </c>
      <c r="F164" s="14" t="str">
        <f t="shared" si="18"/>
        <v/>
      </c>
    </row>
    <row r="165" spans="2:6" x14ac:dyDescent="0.35">
      <c r="B165">
        <v>163</v>
      </c>
      <c r="C165">
        <f t="shared" si="19"/>
        <v>20.234000000000002</v>
      </c>
      <c r="D165">
        <f t="shared" si="17"/>
        <v>3.5304000000000002</v>
      </c>
      <c r="E165" s="29">
        <f t="shared" si="20"/>
        <v>1</v>
      </c>
      <c r="F165" s="14" t="str">
        <f t="shared" si="18"/>
        <v/>
      </c>
    </row>
    <row r="166" spans="2:6" x14ac:dyDescent="0.35">
      <c r="B166">
        <v>164</v>
      </c>
      <c r="C166">
        <f t="shared" si="19"/>
        <v>20.352</v>
      </c>
      <c r="D166">
        <f t="shared" si="17"/>
        <v>3.9144000000000001</v>
      </c>
      <c r="E166" s="29">
        <f t="shared" si="20"/>
        <v>1</v>
      </c>
      <c r="F166" s="14" t="str">
        <f t="shared" si="18"/>
        <v/>
      </c>
    </row>
    <row r="167" spans="2:6" x14ac:dyDescent="0.35">
      <c r="B167">
        <v>165</v>
      </c>
      <c r="C167">
        <f t="shared" si="19"/>
        <v>20.47</v>
      </c>
      <c r="D167">
        <f t="shared" si="17"/>
        <v>4.2735000000000003</v>
      </c>
      <c r="E167" s="29">
        <f t="shared" si="20"/>
        <v>1</v>
      </c>
      <c r="F167" s="14" t="str">
        <f t="shared" si="18"/>
        <v/>
      </c>
    </row>
    <row r="168" spans="2:6" x14ac:dyDescent="0.35">
      <c r="B168">
        <v>166</v>
      </c>
      <c r="C168">
        <f t="shared" si="19"/>
        <v>20.588000000000001</v>
      </c>
      <c r="D168">
        <f t="shared" si="17"/>
        <v>4.6026999999999996</v>
      </c>
      <c r="E168" s="29">
        <f t="shared" si="20"/>
        <v>1</v>
      </c>
      <c r="F168" s="14" t="str">
        <f t="shared" si="18"/>
        <v/>
      </c>
    </row>
    <row r="169" spans="2:6" x14ac:dyDescent="0.35">
      <c r="B169">
        <v>167</v>
      </c>
      <c r="C169">
        <f t="shared" si="19"/>
        <v>20.706</v>
      </c>
      <c r="D169">
        <f t="shared" si="17"/>
        <v>4.8975</v>
      </c>
      <c r="E169" s="29">
        <f t="shared" si="20"/>
        <v>1</v>
      </c>
      <c r="F169" s="14" t="str">
        <f t="shared" si="18"/>
        <v/>
      </c>
    </row>
    <row r="170" spans="2:6" x14ac:dyDescent="0.35">
      <c r="B170">
        <v>168</v>
      </c>
      <c r="C170">
        <f t="shared" si="19"/>
        <v>20.824000000000002</v>
      </c>
      <c r="D170">
        <f t="shared" si="17"/>
        <v>5.1538000000000004</v>
      </c>
      <c r="E170" s="29">
        <f t="shared" si="20"/>
        <v>1</v>
      </c>
      <c r="F170" s="14" t="str">
        <f t="shared" si="18"/>
        <v/>
      </c>
    </row>
    <row r="171" spans="2:6" x14ac:dyDescent="0.35">
      <c r="B171">
        <v>169</v>
      </c>
      <c r="C171">
        <f t="shared" si="19"/>
        <v>20.942</v>
      </c>
      <c r="D171">
        <f t="shared" si="17"/>
        <v>5.3681000000000001</v>
      </c>
      <c r="E171" s="29">
        <f t="shared" si="20"/>
        <v>1</v>
      </c>
      <c r="F171" s="14" t="str">
        <f t="shared" si="18"/>
        <v/>
      </c>
    </row>
    <row r="172" spans="2:6" x14ac:dyDescent="0.35">
      <c r="B172">
        <v>170</v>
      </c>
      <c r="C172">
        <f t="shared" si="19"/>
        <v>21.06</v>
      </c>
      <c r="D172">
        <f t="shared" si="17"/>
        <v>5.5376000000000003</v>
      </c>
      <c r="E172" s="29">
        <f t="shared" si="20"/>
        <v>1</v>
      </c>
      <c r="F172" s="14" t="str">
        <f t="shared" si="18"/>
        <v/>
      </c>
    </row>
    <row r="173" spans="2:6" x14ac:dyDescent="0.35">
      <c r="B173">
        <v>171</v>
      </c>
      <c r="C173">
        <f t="shared" si="19"/>
        <v>21.178000000000001</v>
      </c>
      <c r="D173">
        <f t="shared" si="17"/>
        <v>5.6597999999999997</v>
      </c>
      <c r="E173" s="29">
        <f t="shared" si="20"/>
        <v>1</v>
      </c>
      <c r="F173" s="14" t="str">
        <f t="shared" si="18"/>
        <v/>
      </c>
    </row>
    <row r="174" spans="2:6" ht="15" thickBot="1" x14ac:dyDescent="0.4">
      <c r="B174">
        <v>172</v>
      </c>
      <c r="C174">
        <f t="shared" si="19"/>
        <v>21.295999999999999</v>
      </c>
      <c r="D174">
        <f t="shared" si="17"/>
        <v>5.7331000000000003</v>
      </c>
      <c r="E174" s="29">
        <f t="shared" si="20"/>
        <v>1</v>
      </c>
      <c r="F174" s="14" t="str">
        <f t="shared" si="18"/>
        <v/>
      </c>
    </row>
    <row r="175" spans="2:6" ht="15" thickBot="1" x14ac:dyDescent="0.4">
      <c r="B175">
        <v>173</v>
      </c>
      <c r="C175">
        <f t="shared" si="19"/>
        <v>21.414000000000001</v>
      </c>
      <c r="D175">
        <f t="shared" si="17"/>
        <v>5.7565</v>
      </c>
      <c r="E175" s="31">
        <f t="shared" si="20"/>
        <v>1</v>
      </c>
      <c r="F175" s="14" t="str">
        <f t="shared" si="18"/>
        <v/>
      </c>
    </row>
    <row r="176" spans="2:6" x14ac:dyDescent="0.35">
      <c r="B176">
        <v>174</v>
      </c>
      <c r="C176">
        <f t="shared" si="19"/>
        <v>21.532</v>
      </c>
      <c r="D176">
        <f t="shared" si="17"/>
        <v>5.7298</v>
      </c>
      <c r="E176" s="29">
        <f t="shared" si="20"/>
        <v>-1</v>
      </c>
      <c r="F176" s="14" t="str">
        <f t="shared" si="18"/>
        <v/>
      </c>
    </row>
    <row r="177" spans="2:6" x14ac:dyDescent="0.35">
      <c r="B177">
        <v>175</v>
      </c>
      <c r="C177">
        <f t="shared" si="19"/>
        <v>21.65</v>
      </c>
      <c r="D177">
        <f t="shared" si="17"/>
        <v>5.6532999999999998</v>
      </c>
      <c r="E177" s="29">
        <f t="shared" si="20"/>
        <v>-1</v>
      </c>
      <c r="F177" s="14" t="str">
        <f t="shared" si="18"/>
        <v/>
      </c>
    </row>
    <row r="178" spans="2:6" x14ac:dyDescent="0.35">
      <c r="B178">
        <v>176</v>
      </c>
      <c r="C178">
        <f t="shared" si="19"/>
        <v>21.768000000000001</v>
      </c>
      <c r="D178">
        <f t="shared" si="17"/>
        <v>5.5282</v>
      </c>
      <c r="E178" s="29">
        <f t="shared" si="20"/>
        <v>-1</v>
      </c>
      <c r="F178" s="14" t="str">
        <f t="shared" si="18"/>
        <v/>
      </c>
    </row>
    <row r="179" spans="2:6" x14ac:dyDescent="0.35">
      <c r="B179">
        <v>177</v>
      </c>
      <c r="C179">
        <f t="shared" si="19"/>
        <v>21.885999999999999</v>
      </c>
      <c r="D179">
        <f t="shared" si="17"/>
        <v>5.3563000000000001</v>
      </c>
      <c r="E179" s="29">
        <f t="shared" si="20"/>
        <v>-1</v>
      </c>
      <c r="F179" s="14" t="str">
        <f t="shared" si="18"/>
        <v/>
      </c>
    </row>
    <row r="180" spans="2:6" x14ac:dyDescent="0.35">
      <c r="B180">
        <v>178</v>
      </c>
      <c r="C180">
        <f t="shared" si="19"/>
        <v>22.004000000000001</v>
      </c>
      <c r="D180">
        <f t="shared" si="17"/>
        <v>5.1398999999999999</v>
      </c>
      <c r="E180" s="29">
        <f t="shared" si="20"/>
        <v>-1</v>
      </c>
      <c r="F180" s="14" t="str">
        <f t="shared" si="18"/>
        <v/>
      </c>
    </row>
    <row r="181" spans="2:6" x14ac:dyDescent="0.35">
      <c r="B181">
        <v>179</v>
      </c>
      <c r="C181">
        <f t="shared" si="19"/>
        <v>22.122</v>
      </c>
      <c r="D181">
        <f t="shared" si="17"/>
        <v>4.8821000000000003</v>
      </c>
      <c r="E181" s="29">
        <f t="shared" si="20"/>
        <v>-1</v>
      </c>
      <c r="F181" s="14" t="str">
        <f t="shared" si="18"/>
        <v/>
      </c>
    </row>
    <row r="182" spans="2:6" x14ac:dyDescent="0.35">
      <c r="B182">
        <v>180</v>
      </c>
      <c r="C182">
        <f t="shared" si="19"/>
        <v>22.24</v>
      </c>
      <c r="D182">
        <f t="shared" si="17"/>
        <v>4.5865999999999998</v>
      </c>
      <c r="E182" s="29">
        <f t="shared" si="20"/>
        <v>-1</v>
      </c>
      <c r="F182" s="14" t="str">
        <f t="shared" si="18"/>
        <v/>
      </c>
    </row>
    <row r="183" spans="2:6" x14ac:dyDescent="0.35">
      <c r="B183">
        <v>181</v>
      </c>
      <c r="C183">
        <f t="shared" si="19"/>
        <v>22.358000000000001</v>
      </c>
      <c r="D183">
        <f t="shared" si="17"/>
        <v>4.2575000000000003</v>
      </c>
      <c r="E183" s="29">
        <f t="shared" si="20"/>
        <v>-1</v>
      </c>
      <c r="F183" s="14" t="str">
        <f t="shared" si="18"/>
        <v/>
      </c>
    </row>
    <row r="184" spans="2:6" x14ac:dyDescent="0.35">
      <c r="B184">
        <v>182</v>
      </c>
      <c r="C184">
        <f t="shared" si="19"/>
        <v>22.475999999999999</v>
      </c>
      <c r="D184">
        <f t="shared" si="17"/>
        <v>3.8994</v>
      </c>
      <c r="E184" s="29">
        <f t="shared" si="20"/>
        <v>-1</v>
      </c>
      <c r="F184" s="14" t="str">
        <f t="shared" si="18"/>
        <v/>
      </c>
    </row>
    <row r="185" spans="2:6" x14ac:dyDescent="0.35">
      <c r="B185">
        <v>183</v>
      </c>
      <c r="C185">
        <f t="shared" si="19"/>
        <v>22.594000000000001</v>
      </c>
      <c r="D185">
        <f t="shared" si="17"/>
        <v>3.5173999999999999</v>
      </c>
      <c r="E185" s="29">
        <f t="shared" si="20"/>
        <v>-1</v>
      </c>
      <c r="F185" s="14" t="str">
        <f t="shared" si="18"/>
        <v/>
      </c>
    </row>
    <row r="186" spans="2:6" x14ac:dyDescent="0.35">
      <c r="B186">
        <v>184</v>
      </c>
      <c r="C186">
        <f t="shared" si="19"/>
        <v>22.712</v>
      </c>
      <c r="D186">
        <f t="shared" si="17"/>
        <v>3.1166999999999998</v>
      </c>
      <c r="E186" s="29">
        <f t="shared" si="20"/>
        <v>-1</v>
      </c>
      <c r="F186" s="14">
        <f>IF((D186-$F$1)*(D187-$F$1)&lt;0,1,"")</f>
        <v>1</v>
      </c>
    </row>
    <row r="187" spans="2:6" x14ac:dyDescent="0.35">
      <c r="B187">
        <v>185</v>
      </c>
      <c r="C187">
        <f>ROUND(C186+$C$1,4)</f>
        <v>22.83</v>
      </c>
      <c r="D187">
        <f t="shared" si="17"/>
        <v>2.7031000000000001</v>
      </c>
      <c r="E187" s="29">
        <f>IF(D187-D186&gt;0,1,IF(D187-D186&lt;0,-1,0))</f>
        <v>-1</v>
      </c>
      <c r="F187" s="14" t="str">
        <f t="shared" si="18"/>
        <v/>
      </c>
    </row>
    <row r="188" spans="2:6" x14ac:dyDescent="0.35">
      <c r="B188">
        <v>186</v>
      </c>
      <c r="C188">
        <f t="shared" si="19"/>
        <v>22.948</v>
      </c>
      <c r="D188">
        <f t="shared" si="17"/>
        <v>2.2822</v>
      </c>
      <c r="E188" s="29">
        <f t="shared" si="20"/>
        <v>-1</v>
      </c>
      <c r="F188" s="14" t="str">
        <f t="shared" si="18"/>
        <v/>
      </c>
    </row>
    <row r="189" spans="2:6" x14ac:dyDescent="0.35">
      <c r="B189">
        <v>187</v>
      </c>
      <c r="C189">
        <f t="shared" si="19"/>
        <v>23.065999999999999</v>
      </c>
      <c r="D189">
        <f t="shared" si="17"/>
        <v>1.8601000000000001</v>
      </c>
      <c r="E189" s="29">
        <f t="shared" si="20"/>
        <v>-1</v>
      </c>
      <c r="F189" s="14" t="str">
        <f t="shared" si="18"/>
        <v/>
      </c>
    </row>
    <row r="190" spans="2:6" x14ac:dyDescent="0.35">
      <c r="B190">
        <v>188</v>
      </c>
      <c r="C190">
        <f t="shared" si="19"/>
        <v>23.184000000000001</v>
      </c>
      <c r="D190">
        <f t="shared" si="17"/>
        <v>1.4424999999999999</v>
      </c>
      <c r="E190" s="29">
        <f t="shared" si="20"/>
        <v>-1</v>
      </c>
      <c r="F190" s="14" t="str">
        <f t="shared" si="18"/>
        <v/>
      </c>
    </row>
    <row r="191" spans="2:6" x14ac:dyDescent="0.35">
      <c r="B191">
        <v>189</v>
      </c>
      <c r="C191">
        <f t="shared" si="19"/>
        <v>23.302</v>
      </c>
      <c r="D191">
        <f t="shared" si="17"/>
        <v>1.0354000000000001</v>
      </c>
      <c r="E191" s="29">
        <f t="shared" si="20"/>
        <v>-1</v>
      </c>
      <c r="F191" s="14" t="str">
        <f t="shared" si="18"/>
        <v/>
      </c>
    </row>
    <row r="192" spans="2:6" x14ac:dyDescent="0.35">
      <c r="B192">
        <v>190</v>
      </c>
      <c r="C192">
        <f t="shared" si="19"/>
        <v>23.42</v>
      </c>
      <c r="D192">
        <f t="shared" si="17"/>
        <v>0.64439999999999997</v>
      </c>
      <c r="E192" s="29">
        <f t="shared" si="20"/>
        <v>-1</v>
      </c>
      <c r="F192" s="14" t="str">
        <f t="shared" si="18"/>
        <v/>
      </c>
    </row>
    <row r="193" spans="2:6" x14ac:dyDescent="0.35">
      <c r="B193">
        <v>191</v>
      </c>
      <c r="C193">
        <f t="shared" si="19"/>
        <v>23.538</v>
      </c>
      <c r="D193">
        <f t="shared" si="17"/>
        <v>0.27500000000000002</v>
      </c>
      <c r="E193" s="29">
        <f t="shared" si="20"/>
        <v>-1</v>
      </c>
      <c r="F193" s="14" t="str">
        <f t="shared" si="18"/>
        <v/>
      </c>
    </row>
    <row r="194" spans="2:6" x14ac:dyDescent="0.35">
      <c r="B194">
        <v>192</v>
      </c>
      <c r="C194">
        <f t="shared" si="19"/>
        <v>23.655999999999999</v>
      </c>
      <c r="D194">
        <f t="shared" si="17"/>
        <v>-6.7500000000000004E-2</v>
      </c>
      <c r="E194" s="29">
        <f t="shared" si="20"/>
        <v>-1</v>
      </c>
      <c r="F194" s="14" t="str">
        <f t="shared" si="18"/>
        <v/>
      </c>
    </row>
    <row r="195" spans="2:6" x14ac:dyDescent="0.35">
      <c r="B195">
        <v>193</v>
      </c>
      <c r="C195">
        <f t="shared" si="19"/>
        <v>23.774000000000001</v>
      </c>
      <c r="D195">
        <f t="shared" ref="D195:D202" si="21">ROUND(POWER(C195,1/4)+2*SIN(C195)-3*COS(C195),4)</f>
        <v>-0.3785</v>
      </c>
      <c r="E195" s="29">
        <f t="shared" si="20"/>
        <v>-1</v>
      </c>
      <c r="F195" s="14" t="str">
        <f t="shared" ref="F195:F202" si="22">IF((D195-$F$1)*(D196-$F$1)&lt;0,1,"")</f>
        <v/>
      </c>
    </row>
    <row r="196" spans="2:6" x14ac:dyDescent="0.35">
      <c r="B196">
        <v>194</v>
      </c>
      <c r="C196">
        <f t="shared" ref="C196:C202" si="23">ROUND(C195+$C$1,4)</f>
        <v>23.891999999999999</v>
      </c>
      <c r="D196">
        <f t="shared" si="21"/>
        <v>-0.65349999999999997</v>
      </c>
      <c r="E196" s="29">
        <f t="shared" ref="E196:E202" si="24">IF(D196-D195&gt;0,1,IF(D196-D195&lt;0,-1,0))</f>
        <v>-1</v>
      </c>
      <c r="F196" s="14" t="str">
        <f t="shared" si="22"/>
        <v/>
      </c>
    </row>
    <row r="197" spans="2:6" x14ac:dyDescent="0.35">
      <c r="B197">
        <v>195</v>
      </c>
      <c r="C197">
        <f t="shared" si="23"/>
        <v>24.01</v>
      </c>
      <c r="D197">
        <f t="shared" si="21"/>
        <v>-0.88859999999999995</v>
      </c>
      <c r="E197" s="29">
        <f t="shared" si="24"/>
        <v>-1</v>
      </c>
      <c r="F197" s="14" t="str">
        <f t="shared" si="22"/>
        <v/>
      </c>
    </row>
    <row r="198" spans="2:6" x14ac:dyDescent="0.35">
      <c r="B198">
        <v>196</v>
      </c>
      <c r="C198">
        <f t="shared" si="23"/>
        <v>24.128</v>
      </c>
      <c r="D198">
        <f t="shared" si="21"/>
        <v>-1.0807</v>
      </c>
      <c r="E198" s="29">
        <f t="shared" si="24"/>
        <v>-1</v>
      </c>
      <c r="F198" s="14" t="str">
        <f t="shared" si="22"/>
        <v/>
      </c>
    </row>
    <row r="199" spans="2:6" x14ac:dyDescent="0.35">
      <c r="B199">
        <v>197</v>
      </c>
      <c r="C199">
        <f t="shared" si="23"/>
        <v>24.245999999999999</v>
      </c>
      <c r="D199">
        <f t="shared" si="21"/>
        <v>-1.2267999999999999</v>
      </c>
      <c r="E199" s="29">
        <f t="shared" si="24"/>
        <v>-1</v>
      </c>
      <c r="F199" s="14" t="str">
        <f t="shared" si="22"/>
        <v/>
      </c>
    </row>
    <row r="200" spans="2:6" ht="15" thickBot="1" x14ac:dyDescent="0.4">
      <c r="B200">
        <v>198</v>
      </c>
      <c r="C200">
        <f t="shared" si="23"/>
        <v>24.364000000000001</v>
      </c>
      <c r="D200">
        <f t="shared" si="21"/>
        <v>-1.3250999999999999</v>
      </c>
      <c r="E200" s="29">
        <f t="shared" si="24"/>
        <v>-1</v>
      </c>
      <c r="F200" s="14" t="str">
        <f t="shared" si="22"/>
        <v/>
      </c>
    </row>
    <row r="201" spans="2:6" ht="15" thickBot="1" x14ac:dyDescent="0.4">
      <c r="B201">
        <v>199</v>
      </c>
      <c r="C201">
        <f t="shared" si="23"/>
        <v>24.481999999999999</v>
      </c>
      <c r="D201">
        <f t="shared" si="21"/>
        <v>-1.3741000000000001</v>
      </c>
      <c r="E201" s="31">
        <f t="shared" si="24"/>
        <v>-1</v>
      </c>
      <c r="F201" s="14" t="str">
        <f t="shared" si="22"/>
        <v/>
      </c>
    </row>
    <row r="202" spans="2:6" ht="15" thickBot="1" x14ac:dyDescent="0.4">
      <c r="B202">
        <v>200</v>
      </c>
      <c r="C202">
        <f t="shared" si="23"/>
        <v>24.6</v>
      </c>
      <c r="D202">
        <f t="shared" si="21"/>
        <v>-1.373</v>
      </c>
      <c r="E202" s="30">
        <f t="shared" si="24"/>
        <v>1</v>
      </c>
      <c r="F202" s="14" t="str">
        <f t="shared" si="22"/>
        <v/>
      </c>
    </row>
  </sheetData>
  <phoneticPr fontId="1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A266EC789BD24FA5391E2F96545446" ma:contentTypeVersion="8" ma:contentTypeDescription="Create a new document." ma:contentTypeScope="" ma:versionID="984dd93d0aba83e5184cf3b3f3a106b9">
  <xsd:schema xmlns:xsd="http://www.w3.org/2001/XMLSchema" xmlns:xs="http://www.w3.org/2001/XMLSchema" xmlns:p="http://schemas.microsoft.com/office/2006/metadata/properties" xmlns:ns2="17069a2e-d111-4f6e-847c-7e4dad8b4ed8" targetNamespace="http://schemas.microsoft.com/office/2006/metadata/properties" ma:root="true" ma:fieldsID="71f6800125cfd7d70867653ef51d342f" ns2:_="">
    <xsd:import namespace="17069a2e-d111-4f6e-847c-7e4dad8b4e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69a2e-d111-4f6e-847c-7e4dad8b4e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BBD91-7076-4611-AA87-F1E522F575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69a2e-d111-4f6e-847c-7e4dad8b4e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D0A6C9-03C6-4EF6-8394-29E797168B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FB59F98-30EF-4F09-81A0-35C7212E22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TÍN PHÁT LAPTOP</dc:creator>
  <cp:keywords/>
  <dc:description/>
  <cp:lastModifiedBy>Dang Quyet Tien 20227033</cp:lastModifiedBy>
  <cp:revision/>
  <dcterms:created xsi:type="dcterms:W3CDTF">2024-10-08T00:30:07Z</dcterms:created>
  <dcterms:modified xsi:type="dcterms:W3CDTF">2024-10-29T03:01:07Z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0x010100E4A266EC789BD24FA5391E2F96545446</vt:lpwstr>
  </property>
</Properties>
</file>