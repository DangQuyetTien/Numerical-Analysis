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tien\Desktop\PPS\Tien\2. Nội suy Lagrange\"/>
    </mc:Choice>
  </mc:AlternateContent>
  <xr:revisionPtr revIDLastSave="0" documentId="13_ncr:1_{A7A73310-7F36-4996-87C8-163092F6295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ài 16 (7 mốc)" sheetId="1" r:id="rId1"/>
    <sheet name="2019.1 ( 10 mốc 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2" l="1"/>
  <c r="K42" i="2" s="1"/>
  <c r="L42" i="2" s="1"/>
  <c r="M42" i="2" s="1"/>
  <c r="N42" i="2" s="1"/>
  <c r="O42" i="2" s="1"/>
  <c r="P42" i="2" s="1"/>
  <c r="Q42" i="2" s="1"/>
  <c r="I42" i="2"/>
  <c r="H42" i="2"/>
  <c r="G42" i="2"/>
  <c r="H41" i="2" a="1"/>
  <c r="H41" i="2" s="1"/>
  <c r="J38" i="2"/>
  <c r="K38" i="2" s="1"/>
  <c r="L38" i="2" s="1"/>
  <c r="M38" i="2" s="1"/>
  <c r="N38" i="2" s="1"/>
  <c r="O38" i="2" s="1"/>
  <c r="P38" i="2" s="1"/>
  <c r="Q38" i="2" s="1"/>
  <c r="R38" i="2" s="1"/>
  <c r="J37" i="2"/>
  <c r="K37" i="2" s="1"/>
  <c r="L37" i="2" s="1"/>
  <c r="M37" i="2" s="1"/>
  <c r="N37" i="2" s="1"/>
  <c r="O37" i="2" s="1"/>
  <c r="P37" i="2" s="1"/>
  <c r="Q37" i="2" s="1"/>
  <c r="R37" i="2" s="1"/>
  <c r="J36" i="2"/>
  <c r="K36" i="2" s="1"/>
  <c r="L36" i="2" s="1"/>
  <c r="M36" i="2" s="1"/>
  <c r="N36" i="2" s="1"/>
  <c r="O36" i="2" s="1"/>
  <c r="P36" i="2" s="1"/>
  <c r="Q36" i="2" s="1"/>
  <c r="R36" i="2" s="1"/>
  <c r="J35" i="2"/>
  <c r="K35" i="2" s="1"/>
  <c r="L35" i="2" s="1"/>
  <c r="M35" i="2" s="1"/>
  <c r="N35" i="2" s="1"/>
  <c r="O35" i="2" s="1"/>
  <c r="P35" i="2" s="1"/>
  <c r="Q35" i="2" s="1"/>
  <c r="R35" i="2" s="1"/>
  <c r="Q34" i="2"/>
  <c r="J34" i="2"/>
  <c r="K34" i="2" s="1"/>
  <c r="L34" i="2" s="1"/>
  <c r="M34" i="2" s="1"/>
  <c r="N34" i="2" s="1"/>
  <c r="O34" i="2" s="1"/>
  <c r="P34" i="2" s="1"/>
  <c r="R34" i="2" s="1"/>
  <c r="J33" i="2"/>
  <c r="K33" i="2" s="1"/>
  <c r="L33" i="2" s="1"/>
  <c r="M33" i="2" s="1"/>
  <c r="N33" i="2" s="1"/>
  <c r="O33" i="2" s="1"/>
  <c r="P33" i="2" s="1"/>
  <c r="Q33" i="2" s="1"/>
  <c r="R33" i="2" s="1"/>
  <c r="J32" i="2"/>
  <c r="K32" i="2" s="1"/>
  <c r="L32" i="2" s="1"/>
  <c r="M32" i="2" s="1"/>
  <c r="N32" i="2" s="1"/>
  <c r="O32" i="2" s="1"/>
  <c r="P32" i="2" s="1"/>
  <c r="Q32" i="2" s="1"/>
  <c r="R32" i="2" s="1"/>
  <c r="J31" i="2"/>
  <c r="K31" i="2" s="1"/>
  <c r="L31" i="2" s="1"/>
  <c r="M31" i="2" s="1"/>
  <c r="N31" i="2" s="1"/>
  <c r="O31" i="2" s="1"/>
  <c r="P31" i="2" s="1"/>
  <c r="Q31" i="2" s="1"/>
  <c r="R31" i="2" s="1"/>
  <c r="J30" i="2"/>
  <c r="K30" i="2" s="1"/>
  <c r="L30" i="2" s="1"/>
  <c r="M30" i="2" s="1"/>
  <c r="N30" i="2" s="1"/>
  <c r="O30" i="2" s="1"/>
  <c r="P30" i="2" s="1"/>
  <c r="Q30" i="2" s="1"/>
  <c r="R30" i="2" s="1"/>
  <c r="J29" i="2"/>
  <c r="K29" i="2"/>
  <c r="L29" i="2" s="1"/>
  <c r="M29" i="2" s="1"/>
  <c r="N29" i="2" s="1"/>
  <c r="O29" i="2" s="1"/>
  <c r="P29" i="2" s="1"/>
  <c r="Q29" i="2" s="1"/>
  <c r="R29" i="2" s="1"/>
  <c r="I38" i="2"/>
  <c r="I37" i="2"/>
  <c r="I36" i="2"/>
  <c r="I35" i="2"/>
  <c r="I34" i="2"/>
  <c r="I33" i="2"/>
  <c r="I32" i="2"/>
  <c r="I31" i="2"/>
  <c r="I30" i="2"/>
  <c r="I29" i="2"/>
  <c r="G22" i="1"/>
  <c r="F23" i="1"/>
  <c r="F22" i="1"/>
  <c r="H30" i="2"/>
  <c r="H31" i="2"/>
  <c r="H32" i="2"/>
  <c r="H33" i="2"/>
  <c r="H34" i="2"/>
  <c r="H35" i="2"/>
  <c r="H36" i="2"/>
  <c r="H37" i="2"/>
  <c r="H38" i="2"/>
  <c r="H29" i="2"/>
  <c r="G29" i="2" a="1"/>
  <c r="G29" i="2" s="1"/>
  <c r="H19" i="2" a="1"/>
  <c r="H19" i="2" s="1"/>
  <c r="H20" i="2" s="1" a="1"/>
  <c r="H20" i="2" s="1"/>
  <c r="H21" i="2" s="1" a="1"/>
  <c r="H21" i="2" s="1"/>
  <c r="H22" i="2" s="1" a="1"/>
  <c r="H22" i="2" s="1"/>
  <c r="H23" i="2" s="1" a="1"/>
  <c r="H23" i="2" s="1"/>
  <c r="H24" i="2" s="1" a="1"/>
  <c r="H24" i="2" s="1"/>
  <c r="H25" i="2" s="1" a="1"/>
  <c r="H25" i="2" s="1"/>
  <c r="H26" i="2" s="1" a="1"/>
  <c r="H26" i="2" s="1"/>
  <c r="H27" i="2" s="1" a="1"/>
  <c r="H27" i="2" s="1"/>
  <c r="H18" i="2" a="1"/>
  <c r="H18" i="2" s="1"/>
  <c r="G18" i="2" a="1"/>
  <c r="G18" i="2" s="1"/>
  <c r="I15" i="2"/>
  <c r="J15" i="2"/>
  <c r="K15" i="2"/>
  <c r="L15" i="2"/>
  <c r="M15" i="2"/>
  <c r="N15" i="2"/>
  <c r="O15" i="2"/>
  <c r="P15" i="2"/>
  <c r="Q15" i="2"/>
  <c r="H15" i="2"/>
  <c r="H14" i="2" a="1"/>
  <c r="H14" i="2" s="1"/>
  <c r="Q4" i="2"/>
  <c r="Q5" i="2"/>
  <c r="Q6" i="2"/>
  <c r="Q7" i="2"/>
  <c r="Q8" i="2"/>
  <c r="Q9" i="2"/>
  <c r="Q10" i="2"/>
  <c r="Q11" i="2"/>
  <c r="P4" i="2"/>
  <c r="P5" i="2"/>
  <c r="P6" i="2"/>
  <c r="P7" i="2"/>
  <c r="P8" i="2"/>
  <c r="P9" i="2"/>
  <c r="P10" i="2"/>
  <c r="P12" i="2"/>
  <c r="O4" i="2"/>
  <c r="O5" i="2"/>
  <c r="O6" i="2"/>
  <c r="O7" i="2"/>
  <c r="O8" i="2"/>
  <c r="O9" i="2"/>
  <c r="O11" i="2"/>
  <c r="O12" i="2"/>
  <c r="N4" i="2"/>
  <c r="N5" i="2"/>
  <c r="N6" i="2"/>
  <c r="N7" i="2"/>
  <c r="N8" i="2"/>
  <c r="N10" i="2"/>
  <c r="N11" i="2"/>
  <c r="N12" i="2"/>
  <c r="M4" i="2"/>
  <c r="M5" i="2"/>
  <c r="M6" i="2"/>
  <c r="M7" i="2"/>
  <c r="M9" i="2"/>
  <c r="M10" i="2"/>
  <c r="M11" i="2"/>
  <c r="M12" i="2"/>
  <c r="L4" i="2"/>
  <c r="L5" i="2"/>
  <c r="L6" i="2"/>
  <c r="L8" i="2"/>
  <c r="L9" i="2"/>
  <c r="L10" i="2"/>
  <c r="L11" i="2"/>
  <c r="L12" i="2"/>
  <c r="K4" i="2"/>
  <c r="K5" i="2"/>
  <c r="K7" i="2"/>
  <c r="K8" i="2"/>
  <c r="K9" i="2"/>
  <c r="K10" i="2"/>
  <c r="K11" i="2"/>
  <c r="K12" i="2"/>
  <c r="Q3" i="2"/>
  <c r="P3" i="2"/>
  <c r="O3" i="2"/>
  <c r="N3" i="2"/>
  <c r="M3" i="2"/>
  <c r="L3" i="2"/>
  <c r="K3" i="2"/>
  <c r="J4" i="2"/>
  <c r="J6" i="2"/>
  <c r="J7" i="2"/>
  <c r="J8" i="2"/>
  <c r="J9" i="2"/>
  <c r="J10" i="2"/>
  <c r="J11" i="2"/>
  <c r="J12" i="2"/>
  <c r="J3" i="2"/>
  <c r="I5" i="2"/>
  <c r="I6" i="2"/>
  <c r="I7" i="2"/>
  <c r="I8" i="2"/>
  <c r="I9" i="2"/>
  <c r="I10" i="2"/>
  <c r="I11" i="2"/>
  <c r="I12" i="2"/>
  <c r="I3" i="2"/>
  <c r="H5" i="2"/>
  <c r="H6" i="2"/>
  <c r="H7" i="2"/>
  <c r="H8" i="2"/>
  <c r="H9" i="2"/>
  <c r="H10" i="2"/>
  <c r="H11" i="2"/>
  <c r="H12" i="2"/>
  <c r="H4" i="2"/>
  <c r="C4" i="2"/>
  <c r="C5" i="2" s="1"/>
  <c r="C6" i="2" s="1"/>
  <c r="C7" i="2" s="1"/>
  <c r="C8" i="2" s="1"/>
  <c r="C9" i="2" s="1"/>
  <c r="C10" i="2" s="1"/>
  <c r="C11" i="2" s="1"/>
  <c r="C12" i="2" s="1"/>
  <c r="L33" i="1"/>
  <c r="L32" i="1"/>
  <c r="G33" i="1"/>
  <c r="H33" i="1" s="1"/>
  <c r="I33" i="1" s="1"/>
  <c r="F33" i="1"/>
  <c r="G32" i="1"/>
  <c r="H32" i="1" s="1"/>
  <c r="I32" i="1" s="1"/>
  <c r="J32" i="1" s="1"/>
  <c r="F32" i="1"/>
  <c r="E33" i="1"/>
  <c r="E32" i="1"/>
  <c r="G31" i="1"/>
  <c r="H31" i="1" s="1"/>
  <c r="I31" i="1" s="1"/>
  <c r="J31" i="1" s="1"/>
  <c r="K31" i="1" s="1"/>
  <c r="F31" i="1"/>
  <c r="E31" i="1"/>
  <c r="D31" i="1"/>
  <c r="E30" i="1" l="1" a="1"/>
  <c r="E30" i="1" s="1"/>
  <c r="G28" i="1"/>
  <c r="H28" i="1" s="1"/>
  <c r="I28" i="1" s="1"/>
  <c r="J28" i="1" s="1"/>
  <c r="K28" i="1" s="1"/>
  <c r="L28" i="1" s="1"/>
  <c r="G27" i="1"/>
  <c r="H27" i="1" s="1"/>
  <c r="I27" i="1" s="1"/>
  <c r="J27" i="1" s="1"/>
  <c r="K27" i="1" s="1"/>
  <c r="L27" i="1" s="1"/>
  <c r="F28" i="1"/>
  <c r="F27" i="1"/>
  <c r="G26" i="1"/>
  <c r="H26" i="1" s="1"/>
  <c r="I26" i="1" s="1"/>
  <c r="J26" i="1" s="1"/>
  <c r="K26" i="1" s="1"/>
  <c r="L26" i="1" s="1"/>
  <c r="F26" i="1"/>
  <c r="G25" i="1"/>
  <c r="H25" i="1" s="1"/>
  <c r="I25" i="1" s="1"/>
  <c r="J25" i="1" s="1"/>
  <c r="K25" i="1" s="1"/>
  <c r="L25" i="1" s="1"/>
  <c r="F25" i="1"/>
  <c r="G24" i="1"/>
  <c r="H24" i="1" s="1"/>
  <c r="I24" i="1" s="1"/>
  <c r="J24" i="1" s="1"/>
  <c r="K24" i="1" s="1"/>
  <c r="L24" i="1" s="1"/>
  <c r="F24" i="1"/>
  <c r="G23" i="1"/>
  <c r="H23" i="1" s="1"/>
  <c r="I23" i="1" s="1"/>
  <c r="J23" i="1" s="1"/>
  <c r="K23" i="1" s="1"/>
  <c r="L23" i="1" s="1"/>
  <c r="H22" i="1"/>
  <c r="I22" i="1" s="1"/>
  <c r="J22" i="1" s="1"/>
  <c r="K22" i="1" s="1"/>
  <c r="L22" i="1" s="1"/>
  <c r="E23" i="1"/>
  <c r="E24" i="1"/>
  <c r="E25" i="1"/>
  <c r="E26" i="1"/>
  <c r="E27" i="1"/>
  <c r="E28" i="1"/>
  <c r="E22" i="1"/>
  <c r="E16" i="1" a="1"/>
  <c r="E16" i="1" s="1"/>
  <c r="E17" i="1" s="1" a="1"/>
  <c r="E17" i="1" s="1"/>
  <c r="E18" i="1" s="1" a="1"/>
  <c r="E18" i="1" s="1"/>
  <c r="E19" i="1" s="1" a="1"/>
  <c r="E19" i="1" s="1"/>
  <c r="E20" i="1" s="1" a="1"/>
  <c r="E20" i="1" s="1"/>
  <c r="E21" i="1" s="1" a="1"/>
  <c r="E21" i="1" s="1"/>
  <c r="E15" i="1" a="1"/>
  <c r="E15" i="1" s="1"/>
  <c r="G12" i="1"/>
  <c r="H12" i="1"/>
  <c r="I12" i="1"/>
  <c r="J12" i="1"/>
  <c r="K12" i="1"/>
  <c r="L12" i="1"/>
  <c r="F12" i="1"/>
  <c r="F11" i="1" a="1"/>
  <c r="F11" i="1" s="1"/>
  <c r="L4" i="1"/>
  <c r="L5" i="1"/>
  <c r="L6" i="1"/>
  <c r="L7" i="1"/>
  <c r="L8" i="1"/>
  <c r="L3" i="1"/>
  <c r="K4" i="1"/>
  <c r="K5" i="1"/>
  <c r="K6" i="1"/>
  <c r="K7" i="1"/>
  <c r="K9" i="1"/>
  <c r="K3" i="1"/>
  <c r="J4" i="1"/>
  <c r="J5" i="1"/>
  <c r="J6" i="1"/>
  <c r="J8" i="1"/>
  <c r="J9" i="1"/>
  <c r="J3" i="1"/>
  <c r="I4" i="1"/>
  <c r="I5" i="1"/>
  <c r="I7" i="1"/>
  <c r="I8" i="1"/>
  <c r="I9" i="1"/>
  <c r="I3" i="1"/>
  <c r="H4" i="1"/>
  <c r="H6" i="1"/>
  <c r="H7" i="1"/>
  <c r="H8" i="1"/>
  <c r="H9" i="1"/>
  <c r="H3" i="1"/>
  <c r="G5" i="1"/>
  <c r="G6" i="1"/>
  <c r="G7" i="1"/>
  <c r="G8" i="1"/>
  <c r="G9" i="1"/>
  <c r="G3" i="1"/>
  <c r="F5" i="1"/>
  <c r="F6" i="1"/>
  <c r="F7" i="1"/>
  <c r="F8" i="1"/>
  <c r="F9" i="1"/>
  <c r="F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<sst xmlns="http://schemas.openxmlformats.org/spreadsheetml/2006/main" count="18" uniqueCount="15">
  <si>
    <t>X</t>
  </si>
  <si>
    <t>Y</t>
  </si>
  <si>
    <t>0-j</t>
  </si>
  <si>
    <t>1-j</t>
  </si>
  <si>
    <t>Vecto Dy</t>
  </si>
  <si>
    <t>Đa thức NS theo biến t</t>
  </si>
  <si>
    <t>h</t>
  </si>
  <si>
    <t>Giá trị tại x = 1.95</t>
  </si>
  <si>
    <t>Đạo hàm cấp 2 khi x = 1.95</t>
  </si>
  <si>
    <t>Đạo hàm cấp 1 khi x = 1.95</t>
  </si>
  <si>
    <t>x*</t>
  </si>
  <si>
    <t>2-j</t>
  </si>
  <si>
    <t>9-j</t>
  </si>
  <si>
    <t>Vector Dy</t>
  </si>
  <si>
    <t>DTNS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</si>
</sst>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1" fillId="2" borderId="0" xfId="0" applyFont="1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3"/>
  <sheetViews>
    <sheetView topLeftCell="A16" workbookViewId="0">
      <selection activeCell="G23" sqref="G23"/>
    </sheetView>
  </sheetViews>
  <sheetFormatPr defaultRowHeight="14.5" x14ac:dyDescent="0.35"/>
  <cols>
    <col min="2" max="2" width="23.1796875" customWidth="1"/>
    <col min="3" max="3" width="11.453125" customWidth="1"/>
    <col min="5" max="5" width="9.7265625" customWidth="1"/>
    <col min="6" max="6" width="11.81640625" bestFit="1" customWidth="1"/>
  </cols>
  <sheetData>
    <row r="2" spans="1:12" x14ac:dyDescent="0.35">
      <c r="A2" t="s">
        <v>6</v>
      </c>
      <c r="B2" s="12" t="s">
        <v>0</v>
      </c>
      <c r="C2" s="12" t="s">
        <v>1</v>
      </c>
      <c r="F2" t="s">
        <v>2</v>
      </c>
      <c r="G2" t="s">
        <v>3</v>
      </c>
    </row>
    <row r="3" spans="1:12" x14ac:dyDescent="0.35">
      <c r="A3">
        <v>0.2</v>
      </c>
      <c r="B3">
        <v>1.2</v>
      </c>
      <c r="C3">
        <v>0.35289999999999999</v>
      </c>
      <c r="E3">
        <v>0</v>
      </c>
      <c r="F3">
        <v>1</v>
      </c>
      <c r="G3">
        <f>$E$4-E3</f>
        <v>1</v>
      </c>
      <c r="H3">
        <f>$E$5-E3</f>
        <v>2</v>
      </c>
      <c r="I3">
        <f>$E$6-E3</f>
        <v>3</v>
      </c>
      <c r="J3">
        <f>$E$7-E3</f>
        <v>4</v>
      </c>
      <c r="K3">
        <f>$E$8-E3</f>
        <v>5</v>
      </c>
      <c r="L3">
        <f>$E$9-E3</f>
        <v>6</v>
      </c>
    </row>
    <row r="4" spans="1:12" x14ac:dyDescent="0.35">
      <c r="B4">
        <v>1.4</v>
      </c>
      <c r="C4">
        <v>1.4500999999999999</v>
      </c>
      <c r="E4">
        <v>1</v>
      </c>
      <c r="F4">
        <f>$E$3-E4</f>
        <v>-1</v>
      </c>
      <c r="G4">
        <v>1</v>
      </c>
      <c r="H4">
        <f t="shared" ref="H4:H9" si="0">$E$5-E4</f>
        <v>1</v>
      </c>
      <c r="I4">
        <f t="shared" ref="I4:I9" si="1">$E$6-E4</f>
        <v>2</v>
      </c>
      <c r="J4">
        <f t="shared" ref="J4:J9" si="2">$E$7-E4</f>
        <v>3</v>
      </c>
      <c r="K4">
        <f t="shared" ref="K4:K9" si="3">$E$8-E4</f>
        <v>4</v>
      </c>
      <c r="L4">
        <f t="shared" ref="L4:L8" si="4">$E$9-E4</f>
        <v>5</v>
      </c>
    </row>
    <row r="5" spans="1:12" x14ac:dyDescent="0.35">
      <c r="B5">
        <v>1.6</v>
      </c>
      <c r="C5">
        <v>2.6476000000000002</v>
      </c>
      <c r="E5">
        <v>2</v>
      </c>
      <c r="F5">
        <f t="shared" ref="F5:F9" si="5">$E$3-E5</f>
        <v>-2</v>
      </c>
      <c r="G5">
        <f t="shared" ref="G5:G9" si="6">$E$4-E5</f>
        <v>-1</v>
      </c>
      <c r="H5">
        <v>1</v>
      </c>
      <c r="I5">
        <f t="shared" si="1"/>
        <v>1</v>
      </c>
      <c r="J5">
        <f t="shared" si="2"/>
        <v>2</v>
      </c>
      <c r="K5">
        <f t="shared" si="3"/>
        <v>3</v>
      </c>
      <c r="L5">
        <f t="shared" si="4"/>
        <v>4</v>
      </c>
    </row>
    <row r="6" spans="1:12" x14ac:dyDescent="0.35">
      <c r="B6">
        <v>1.8</v>
      </c>
      <c r="C6">
        <v>3.9216000000000002</v>
      </c>
      <c r="E6">
        <v>3</v>
      </c>
      <c r="F6">
        <f t="shared" si="5"/>
        <v>-3</v>
      </c>
      <c r="G6">
        <f t="shared" si="6"/>
        <v>-2</v>
      </c>
      <c r="H6">
        <f t="shared" si="0"/>
        <v>-1</v>
      </c>
      <c r="I6">
        <v>1</v>
      </c>
      <c r="J6">
        <f t="shared" si="2"/>
        <v>1</v>
      </c>
      <c r="K6">
        <f t="shared" si="3"/>
        <v>2</v>
      </c>
      <c r="L6">
        <f t="shared" si="4"/>
        <v>3</v>
      </c>
    </row>
    <row r="7" spans="1:12" x14ac:dyDescent="0.35">
      <c r="B7">
        <v>2</v>
      </c>
      <c r="C7">
        <v>5.2484000000000002</v>
      </c>
      <c r="E7">
        <v>4</v>
      </c>
      <c r="F7">
        <f t="shared" si="5"/>
        <v>-4</v>
      </c>
      <c r="G7">
        <f t="shared" si="6"/>
        <v>-3</v>
      </c>
      <c r="H7">
        <f t="shared" si="0"/>
        <v>-2</v>
      </c>
      <c r="I7">
        <f t="shared" si="1"/>
        <v>-1</v>
      </c>
      <c r="J7">
        <v>1</v>
      </c>
      <c r="K7">
        <f t="shared" si="3"/>
        <v>1</v>
      </c>
      <c r="L7">
        <f t="shared" si="4"/>
        <v>2</v>
      </c>
    </row>
    <row r="8" spans="1:12" x14ac:dyDescent="0.35">
      <c r="B8">
        <v>2.2000000000000002</v>
      </c>
      <c r="C8">
        <v>6.6055000000000001</v>
      </c>
      <c r="E8">
        <v>5</v>
      </c>
      <c r="F8">
        <f t="shared" si="5"/>
        <v>-5</v>
      </c>
      <c r="G8">
        <f t="shared" si="6"/>
        <v>-4</v>
      </c>
      <c r="H8">
        <f t="shared" si="0"/>
        <v>-3</v>
      </c>
      <c r="I8">
        <f t="shared" si="1"/>
        <v>-2</v>
      </c>
      <c r="J8">
        <f t="shared" si="2"/>
        <v>-1</v>
      </c>
      <c r="K8">
        <v>1</v>
      </c>
      <c r="L8">
        <f t="shared" si="4"/>
        <v>1</v>
      </c>
    </row>
    <row r="9" spans="1:12" x14ac:dyDescent="0.35">
      <c r="B9">
        <v>2.4</v>
      </c>
      <c r="C9">
        <v>7.9722</v>
      </c>
      <c r="E9">
        <v>6</v>
      </c>
      <c r="F9">
        <f t="shared" si="5"/>
        <v>-6</v>
      </c>
      <c r="G9">
        <f t="shared" si="6"/>
        <v>-5</v>
      </c>
      <c r="H9">
        <f t="shared" si="0"/>
        <v>-4</v>
      </c>
      <c r="I9">
        <f t="shared" si="1"/>
        <v>-3</v>
      </c>
      <c r="J9">
        <f t="shared" si="2"/>
        <v>-2</v>
      </c>
      <c r="K9">
        <f t="shared" si="3"/>
        <v>-1</v>
      </c>
      <c r="L9">
        <v>1</v>
      </c>
    </row>
    <row r="11" spans="1:12" x14ac:dyDescent="0.35">
      <c r="F11" cm="1">
        <f t="array" ref="F11:L11">TRANSPOSE(C3:C9)</f>
        <v>0.35289999999999999</v>
      </c>
      <c r="G11">
        <v>1.4500999999999999</v>
      </c>
      <c r="H11">
        <v>2.6476000000000002</v>
      </c>
      <c r="I11">
        <v>3.9216000000000002</v>
      </c>
      <c r="J11">
        <v>5.2484000000000002</v>
      </c>
      <c r="K11">
        <v>6.6055000000000001</v>
      </c>
      <c r="L11">
        <v>7.9722</v>
      </c>
    </row>
    <row r="12" spans="1:12" x14ac:dyDescent="0.35">
      <c r="E12" s="2" t="s">
        <v>4</v>
      </c>
      <c r="F12" s="1">
        <f>F11/PRODUCT(F3:F9)</f>
        <v>4.9013888888888892E-4</v>
      </c>
      <c r="G12" s="1">
        <f t="shared" ref="G12:L12" si="7">G11/PRODUCT(G3:G9)</f>
        <v>-1.2084166666666667E-2</v>
      </c>
      <c r="H12" s="1">
        <f t="shared" si="7"/>
        <v>5.5158333333333337E-2</v>
      </c>
      <c r="I12" s="1">
        <f t="shared" si="7"/>
        <v>-0.10893333333333334</v>
      </c>
      <c r="J12" s="1">
        <f t="shared" si="7"/>
        <v>0.10934166666666667</v>
      </c>
      <c r="K12" s="1">
        <f t="shared" si="7"/>
        <v>-5.5045833333333336E-2</v>
      </c>
      <c r="L12" s="1">
        <f t="shared" si="7"/>
        <v>1.1072500000000001E-2</v>
      </c>
    </row>
    <row r="14" spans="1:12" x14ac:dyDescent="0.35"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</row>
    <row r="15" spans="1:12" x14ac:dyDescent="0.35">
      <c r="D15">
        <v>0</v>
      </c>
      <c r="E15" cm="1">
        <f t="array" ref="E15:L15">F14:M14-D15*E14:L14</f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35">
      <c r="D16">
        <v>1</v>
      </c>
      <c r="E16" cm="1">
        <f t="array" ref="E16:L16">F15:M15-D16*E15:L15</f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-1</v>
      </c>
      <c r="L16">
        <v>0</v>
      </c>
    </row>
    <row r="17" spans="2:12" x14ac:dyDescent="0.35">
      <c r="D17">
        <v>2</v>
      </c>
      <c r="E17" cm="1">
        <f t="array" ref="E17:L17">F16:M16-D17*E16:L16</f>
        <v>0</v>
      </c>
      <c r="F17">
        <v>0</v>
      </c>
      <c r="G17">
        <v>0</v>
      </c>
      <c r="H17">
        <v>0</v>
      </c>
      <c r="I17">
        <v>1</v>
      </c>
      <c r="J17">
        <v>-3</v>
      </c>
      <c r="K17">
        <v>2</v>
      </c>
      <c r="L17">
        <v>0</v>
      </c>
    </row>
    <row r="18" spans="2:12" x14ac:dyDescent="0.35">
      <c r="D18">
        <v>3</v>
      </c>
      <c r="E18" cm="1">
        <f t="array" ref="E18:L18">F17:M17-D18*E17:L17</f>
        <v>0</v>
      </c>
      <c r="F18">
        <v>0</v>
      </c>
      <c r="G18">
        <v>0</v>
      </c>
      <c r="H18">
        <v>1</v>
      </c>
      <c r="I18">
        <v>-6</v>
      </c>
      <c r="J18">
        <v>11</v>
      </c>
      <c r="K18">
        <v>-6</v>
      </c>
      <c r="L18">
        <v>0</v>
      </c>
    </row>
    <row r="19" spans="2:12" x14ac:dyDescent="0.35">
      <c r="D19">
        <v>4</v>
      </c>
      <c r="E19" cm="1">
        <f t="array" ref="E19:L19">F18:M18-D19*E18:L18</f>
        <v>0</v>
      </c>
      <c r="F19">
        <v>0</v>
      </c>
      <c r="G19">
        <v>1</v>
      </c>
      <c r="H19">
        <v>-10</v>
      </c>
      <c r="I19">
        <v>35</v>
      </c>
      <c r="J19">
        <v>-50</v>
      </c>
      <c r="K19">
        <v>24</v>
      </c>
      <c r="L19">
        <v>0</v>
      </c>
    </row>
    <row r="20" spans="2:12" x14ac:dyDescent="0.35">
      <c r="D20">
        <v>5</v>
      </c>
      <c r="E20" cm="1">
        <f t="array" ref="E20:L20">F19:M19-D20*E19:L19</f>
        <v>0</v>
      </c>
      <c r="F20">
        <v>1</v>
      </c>
      <c r="G20">
        <v>-15</v>
      </c>
      <c r="H20">
        <v>85</v>
      </c>
      <c r="I20">
        <v>-225</v>
      </c>
      <c r="J20">
        <v>274</v>
      </c>
      <c r="K20">
        <v>-120</v>
      </c>
      <c r="L20">
        <v>0</v>
      </c>
    </row>
    <row r="21" spans="2:12" ht="15" thickBot="1" x14ac:dyDescent="0.4">
      <c r="D21">
        <v>6</v>
      </c>
      <c r="E21" s="3" cm="1">
        <f t="array" ref="E21:L21">F20:M20-D21*E20:L20</f>
        <v>1</v>
      </c>
      <c r="F21" s="3">
        <v>-21</v>
      </c>
      <c r="G21" s="3">
        <v>175</v>
      </c>
      <c r="H21" s="3">
        <v>-735</v>
      </c>
      <c r="I21" s="3">
        <v>1624</v>
      </c>
      <c r="J21" s="3">
        <v>-1764</v>
      </c>
      <c r="K21" s="3">
        <v>720</v>
      </c>
      <c r="L21" s="3">
        <v>0</v>
      </c>
    </row>
    <row r="22" spans="2:12" x14ac:dyDescent="0.35">
      <c r="D22">
        <v>0</v>
      </c>
      <c r="E22" s="4">
        <f>$E$21</f>
        <v>1</v>
      </c>
      <c r="F22" s="5">
        <f>F21+E22*$D$22</f>
        <v>-21</v>
      </c>
      <c r="G22" s="5">
        <f>G21+F22*$D$22</f>
        <v>175</v>
      </c>
      <c r="H22" s="5">
        <f t="shared" ref="G22:L22" si="8">H21+G22*$D$22</f>
        <v>-735</v>
      </c>
      <c r="I22" s="5">
        <f t="shared" si="8"/>
        <v>1624</v>
      </c>
      <c r="J22" s="5">
        <f t="shared" si="8"/>
        <v>-1764</v>
      </c>
      <c r="K22" s="6">
        <f t="shared" si="8"/>
        <v>720</v>
      </c>
      <c r="L22">
        <f t="shared" si="8"/>
        <v>0</v>
      </c>
    </row>
    <row r="23" spans="2:12" x14ac:dyDescent="0.35">
      <c r="D23">
        <v>1</v>
      </c>
      <c r="E23" s="7">
        <f t="shared" ref="E23:E28" si="9">$E$21</f>
        <v>1</v>
      </c>
      <c r="F23">
        <f>F21+E23*$D$23</f>
        <v>-20</v>
      </c>
      <c r="G23">
        <f t="shared" ref="G23:L23" si="10">G21+F23*$D$23</f>
        <v>155</v>
      </c>
      <c r="H23">
        <f t="shared" si="10"/>
        <v>-580</v>
      </c>
      <c r="I23">
        <f t="shared" si="10"/>
        <v>1044</v>
      </c>
      <c r="J23">
        <f t="shared" si="10"/>
        <v>-720</v>
      </c>
      <c r="K23" s="8">
        <f t="shared" si="10"/>
        <v>0</v>
      </c>
      <c r="L23">
        <f t="shared" si="10"/>
        <v>0</v>
      </c>
    </row>
    <row r="24" spans="2:12" x14ac:dyDescent="0.35">
      <c r="D24">
        <v>2</v>
      </c>
      <c r="E24" s="7">
        <f t="shared" si="9"/>
        <v>1</v>
      </c>
      <c r="F24">
        <f>F21+E24*$D$24</f>
        <v>-19</v>
      </c>
      <c r="G24">
        <f t="shared" ref="G24:L24" si="11">G21+F24*$D$24</f>
        <v>137</v>
      </c>
      <c r="H24">
        <f t="shared" si="11"/>
        <v>-461</v>
      </c>
      <c r="I24">
        <f t="shared" si="11"/>
        <v>702</v>
      </c>
      <c r="J24">
        <f t="shared" si="11"/>
        <v>-360</v>
      </c>
      <c r="K24" s="8">
        <f t="shared" si="11"/>
        <v>0</v>
      </c>
      <c r="L24">
        <f t="shared" si="11"/>
        <v>0</v>
      </c>
    </row>
    <row r="25" spans="2:12" x14ac:dyDescent="0.35">
      <c r="D25">
        <v>3</v>
      </c>
      <c r="E25" s="7">
        <f t="shared" si="9"/>
        <v>1</v>
      </c>
      <c r="F25">
        <f>F21+E25*$D$25</f>
        <v>-18</v>
      </c>
      <c r="G25">
        <f t="shared" ref="G25:L25" si="12">G21+F25*$D$25</f>
        <v>121</v>
      </c>
      <c r="H25">
        <f t="shared" si="12"/>
        <v>-372</v>
      </c>
      <c r="I25">
        <f t="shared" si="12"/>
        <v>508</v>
      </c>
      <c r="J25">
        <f t="shared" si="12"/>
        <v>-240</v>
      </c>
      <c r="K25" s="8">
        <f t="shared" si="12"/>
        <v>0</v>
      </c>
      <c r="L25">
        <f t="shared" si="12"/>
        <v>0</v>
      </c>
    </row>
    <row r="26" spans="2:12" x14ac:dyDescent="0.35">
      <c r="D26">
        <v>4</v>
      </c>
      <c r="E26" s="7">
        <f t="shared" si="9"/>
        <v>1</v>
      </c>
      <c r="F26">
        <f>F21+E26*$D$26</f>
        <v>-17</v>
      </c>
      <c r="G26">
        <f t="shared" ref="G26:L26" si="13">G21+F26*$D$26</f>
        <v>107</v>
      </c>
      <c r="H26">
        <f t="shared" si="13"/>
        <v>-307</v>
      </c>
      <c r="I26">
        <f t="shared" si="13"/>
        <v>396</v>
      </c>
      <c r="J26">
        <f t="shared" si="13"/>
        <v>-180</v>
      </c>
      <c r="K26" s="8">
        <f t="shared" si="13"/>
        <v>0</v>
      </c>
      <c r="L26">
        <f t="shared" si="13"/>
        <v>0</v>
      </c>
    </row>
    <row r="27" spans="2:12" x14ac:dyDescent="0.35">
      <c r="D27">
        <v>5</v>
      </c>
      <c r="E27" s="7">
        <f t="shared" si="9"/>
        <v>1</v>
      </c>
      <c r="F27">
        <f>F21+E27*$D$27</f>
        <v>-16</v>
      </c>
      <c r="G27">
        <f t="shared" ref="G27:L27" si="14">G21+F27*$D$27</f>
        <v>95</v>
      </c>
      <c r="H27">
        <f t="shared" si="14"/>
        <v>-260</v>
      </c>
      <c r="I27">
        <f t="shared" si="14"/>
        <v>324</v>
      </c>
      <c r="J27">
        <f t="shared" si="14"/>
        <v>-144</v>
      </c>
      <c r="K27" s="8">
        <f t="shared" si="14"/>
        <v>0</v>
      </c>
      <c r="L27">
        <f t="shared" si="14"/>
        <v>0</v>
      </c>
    </row>
    <row r="28" spans="2:12" ht="15" thickBot="1" x14ac:dyDescent="0.4">
      <c r="D28">
        <v>6</v>
      </c>
      <c r="E28" s="9">
        <f t="shared" si="9"/>
        <v>1</v>
      </c>
      <c r="F28" s="10">
        <f>F21+E28*$D$28</f>
        <v>-15</v>
      </c>
      <c r="G28" s="10">
        <f t="shared" ref="G28:L28" si="15">G21+F28*$D$28</f>
        <v>85</v>
      </c>
      <c r="H28" s="10">
        <f t="shared" si="15"/>
        <v>-225</v>
      </c>
      <c r="I28" s="10">
        <f t="shared" si="15"/>
        <v>274</v>
      </c>
      <c r="J28" s="10">
        <f t="shared" si="15"/>
        <v>-120</v>
      </c>
      <c r="K28" s="11">
        <f t="shared" si="15"/>
        <v>0</v>
      </c>
      <c r="L28">
        <f t="shared" si="15"/>
        <v>0</v>
      </c>
    </row>
    <row r="30" spans="2:12" x14ac:dyDescent="0.35">
      <c r="B30" s="2" t="s">
        <v>5</v>
      </c>
      <c r="E30" cm="1">
        <f t="array" ref="E30:K30">MMULT(F12:L12,E22:K28)</f>
        <v>-6.9444444444725917E-7</v>
      </c>
      <c r="F30">
        <v>1.9583333333350605E-5</v>
      </c>
      <c r="G30">
        <v>-1.4652777777690584E-4</v>
      </c>
      <c r="H30">
        <v>-3.514583333333654E-3</v>
      </c>
      <c r="I30">
        <v>6.1447222222221765E-2</v>
      </c>
      <c r="J30">
        <v>1.0393950000000003</v>
      </c>
      <c r="K30">
        <v>0.35289999999999999</v>
      </c>
    </row>
    <row r="31" spans="2:12" x14ac:dyDescent="0.35">
      <c r="B31" t="s">
        <v>7</v>
      </c>
      <c r="C31">
        <v>1.95</v>
      </c>
      <c r="D31">
        <f>(C31-B3)/A3</f>
        <v>3.75</v>
      </c>
      <c r="E31">
        <f>E30</f>
        <v>-6.9444444444725917E-7</v>
      </c>
      <c r="F31">
        <f>F30+E31*$D$31</f>
        <v>1.6979166666673384E-5</v>
      </c>
      <c r="G31">
        <f t="shared" ref="G31:K31" si="16">G30+F31*$D$31</f>
        <v>-8.2855902776880655E-5</v>
      </c>
      <c r="H31">
        <f t="shared" si="16"/>
        <v>-3.8252929687469565E-3</v>
      </c>
      <c r="I31">
        <f t="shared" si="16"/>
        <v>4.7102373589420682E-2</v>
      </c>
      <c r="J31">
        <f t="shared" si="16"/>
        <v>1.2160289009603278</v>
      </c>
      <c r="K31" s="1">
        <f t="shared" si="16"/>
        <v>4.9130083786012291</v>
      </c>
    </row>
    <row r="32" spans="2:12" x14ac:dyDescent="0.35">
      <c r="B32" t="s">
        <v>9</v>
      </c>
      <c r="E32">
        <f>E30</f>
        <v>-6.9444444444725917E-7</v>
      </c>
      <c r="F32">
        <f>F31+E32*$D$31</f>
        <v>1.4374999999996162E-5</v>
      </c>
      <c r="G32">
        <f t="shared" ref="G32:J32" si="17">G31+F32*$D$31</f>
        <v>-2.8949652776895048E-5</v>
      </c>
      <c r="H32">
        <f t="shared" si="17"/>
        <v>-3.9338541666603128E-3</v>
      </c>
      <c r="I32">
        <f t="shared" si="17"/>
        <v>3.2350420464444508E-2</v>
      </c>
      <c r="J32" s="1">
        <f t="shared" si="17"/>
        <v>1.3373429777019947</v>
      </c>
      <c r="L32" s="3">
        <f>(J32*1)/A3^1</f>
        <v>6.6867148885099734</v>
      </c>
    </row>
    <row r="33" spans="2:12" x14ac:dyDescent="0.35">
      <c r="B33" t="s">
        <v>8</v>
      </c>
      <c r="E33">
        <f>E30</f>
        <v>-6.9444444444725917E-7</v>
      </c>
      <c r="F33">
        <f>F32+E33*$D$31</f>
        <v>1.177083333331894E-5</v>
      </c>
      <c r="G33">
        <f t="shared" ref="G33:I33" si="18">G32+F33*$D$31</f>
        <v>1.5190972223050976E-5</v>
      </c>
      <c r="H33">
        <f t="shared" si="18"/>
        <v>-3.8768880208238715E-3</v>
      </c>
      <c r="I33" s="1">
        <f t="shared" si="18"/>
        <v>1.7812090386354992E-2</v>
      </c>
      <c r="L33" s="3">
        <f>(I33*2*1)/A3^2</f>
        <v>0.89060451931774942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770D-1A4C-4AA1-95FD-0C73D729B3B3}">
  <dimension ref="A1:R42"/>
  <sheetViews>
    <sheetView tabSelected="1" workbookViewId="0">
      <selection activeCell="D13" sqref="D13"/>
    </sheetView>
  </sheetViews>
  <sheetFormatPr defaultRowHeight="14.5" x14ac:dyDescent="0.35"/>
  <cols>
    <col min="8" max="8" width="12.54296875" bestFit="1" customWidth="1"/>
    <col min="9" max="9" width="11.90625" bestFit="1" customWidth="1"/>
    <col min="10" max="16" width="8.81640625" bestFit="1" customWidth="1"/>
    <col min="17" max="17" width="11.81640625" bestFit="1" customWidth="1"/>
  </cols>
  <sheetData>
    <row r="1" spans="1:17" x14ac:dyDescent="0.35">
      <c r="A1" t="s">
        <v>6</v>
      </c>
      <c r="B1">
        <v>3</v>
      </c>
      <c r="C1" t="s">
        <v>10</v>
      </c>
      <c r="D1">
        <v>21.059308427726947</v>
      </c>
    </row>
    <row r="2" spans="1:17" x14ac:dyDescent="0.35">
      <c r="H2" t="s">
        <v>2</v>
      </c>
      <c r="I2" t="s">
        <v>3</v>
      </c>
      <c r="J2" t="s">
        <v>11</v>
      </c>
      <c r="Q2" t="s">
        <v>12</v>
      </c>
    </row>
    <row r="3" spans="1:17" x14ac:dyDescent="0.35">
      <c r="B3">
        <v>3</v>
      </c>
      <c r="C3">
        <v>1.224</v>
      </c>
      <c r="G3">
        <v>0</v>
      </c>
      <c r="H3">
        <v>1</v>
      </c>
      <c r="I3">
        <f>$G$4-G3</f>
        <v>1</v>
      </c>
      <c r="J3">
        <f>$G$5-G3</f>
        <v>2</v>
      </c>
      <c r="K3">
        <f>$G$6-G3</f>
        <v>3</v>
      </c>
      <c r="L3">
        <f>$G$7-G3</f>
        <v>4</v>
      </c>
      <c r="M3">
        <f>$G$8-G3</f>
        <v>5</v>
      </c>
      <c r="N3">
        <f>$G$9-G3</f>
        <v>6</v>
      </c>
      <c r="O3">
        <f>$G$10-G3</f>
        <v>7</v>
      </c>
      <c r="P3">
        <f>$G$11-G3</f>
        <v>8</v>
      </c>
      <c r="Q3">
        <f>$G$12-G3</f>
        <v>9</v>
      </c>
    </row>
    <row r="4" spans="1:17" x14ac:dyDescent="0.35">
      <c r="B4">
        <v>6</v>
      </c>
      <c r="C4">
        <f>C3+2.04</f>
        <v>3.2640000000000002</v>
      </c>
      <c r="G4">
        <v>1</v>
      </c>
      <c r="H4">
        <f>$G$3-G4</f>
        <v>-1</v>
      </c>
      <c r="I4">
        <v>1</v>
      </c>
      <c r="J4">
        <f t="shared" ref="J4:J12" si="0">$G$5-G4</f>
        <v>1</v>
      </c>
      <c r="K4">
        <f t="shared" ref="K4:K12" si="1">$G$6-G4</f>
        <v>2</v>
      </c>
      <c r="L4">
        <f t="shared" ref="L4:L12" si="2">$G$7-G4</f>
        <v>3</v>
      </c>
      <c r="M4">
        <f t="shared" ref="M4:M12" si="3">$G$8-G4</f>
        <v>4</v>
      </c>
      <c r="N4">
        <f t="shared" ref="N4:N12" si="4">$G$9-G4</f>
        <v>5</v>
      </c>
      <c r="O4">
        <f t="shared" ref="O4:O12" si="5">$G$10-G4</f>
        <v>6</v>
      </c>
      <c r="P4">
        <f t="shared" ref="P4:P12" si="6">$G$11-G4</f>
        <v>7</v>
      </c>
      <c r="Q4">
        <f t="shared" ref="Q4:Q12" si="7">$G$12-G4</f>
        <v>8</v>
      </c>
    </row>
    <row r="5" spans="1:17" x14ac:dyDescent="0.35">
      <c r="B5">
        <v>9</v>
      </c>
      <c r="C5">
        <f>C4+3.562</f>
        <v>6.8260000000000005</v>
      </c>
      <c r="G5">
        <v>2</v>
      </c>
      <c r="H5">
        <f t="shared" ref="H5:H12" si="8">$G$3-G5</f>
        <v>-2</v>
      </c>
      <c r="I5">
        <f t="shared" ref="I4:I12" si="9">$G$4-G5</f>
        <v>-1</v>
      </c>
      <c r="J5">
        <v>1</v>
      </c>
      <c r="K5">
        <f t="shared" si="1"/>
        <v>1</v>
      </c>
      <c r="L5">
        <f t="shared" si="2"/>
        <v>2</v>
      </c>
      <c r="M5">
        <f t="shared" si="3"/>
        <v>3</v>
      </c>
      <c r="N5">
        <f t="shared" si="4"/>
        <v>4</v>
      </c>
      <c r="O5">
        <f t="shared" si="5"/>
        <v>5</v>
      </c>
      <c r="P5">
        <f t="shared" si="6"/>
        <v>6</v>
      </c>
      <c r="Q5">
        <f t="shared" si="7"/>
        <v>7</v>
      </c>
    </row>
    <row r="6" spans="1:17" x14ac:dyDescent="0.35">
      <c r="B6">
        <v>12</v>
      </c>
      <c r="C6">
        <f>C5+4.584</f>
        <v>11.41</v>
      </c>
      <c r="G6">
        <v>3</v>
      </c>
      <c r="H6">
        <f t="shared" si="8"/>
        <v>-3</v>
      </c>
      <c r="I6">
        <f t="shared" si="9"/>
        <v>-2</v>
      </c>
      <c r="J6">
        <f t="shared" si="0"/>
        <v>-1</v>
      </c>
      <c r="K6">
        <v>1</v>
      </c>
      <c r="L6">
        <f t="shared" si="2"/>
        <v>1</v>
      </c>
      <c r="M6">
        <f t="shared" si="3"/>
        <v>2</v>
      </c>
      <c r="N6">
        <f t="shared" si="4"/>
        <v>3</v>
      </c>
      <c r="O6">
        <f t="shared" si="5"/>
        <v>4</v>
      </c>
      <c r="P6">
        <f t="shared" si="6"/>
        <v>5</v>
      </c>
      <c r="Q6">
        <f t="shared" si="7"/>
        <v>6</v>
      </c>
    </row>
    <row r="7" spans="1:17" x14ac:dyDescent="0.35">
      <c r="B7">
        <v>15</v>
      </c>
      <c r="C7">
        <f>C6+5.302</f>
        <v>16.712</v>
      </c>
      <c r="G7">
        <v>4</v>
      </c>
      <c r="H7">
        <f t="shared" si="8"/>
        <v>-4</v>
      </c>
      <c r="I7">
        <f t="shared" si="9"/>
        <v>-3</v>
      </c>
      <c r="J7">
        <f t="shared" si="0"/>
        <v>-2</v>
      </c>
      <c r="K7">
        <f t="shared" si="1"/>
        <v>-1</v>
      </c>
      <c r="L7">
        <v>1</v>
      </c>
      <c r="M7">
        <f t="shared" si="3"/>
        <v>1</v>
      </c>
      <c r="N7">
        <f t="shared" si="4"/>
        <v>2</v>
      </c>
      <c r="O7">
        <f t="shared" si="5"/>
        <v>3</v>
      </c>
      <c r="P7">
        <f t="shared" si="6"/>
        <v>4</v>
      </c>
      <c r="Q7">
        <f t="shared" si="7"/>
        <v>5</v>
      </c>
    </row>
    <row r="8" spans="1:17" x14ac:dyDescent="0.35">
      <c r="B8">
        <v>18</v>
      </c>
      <c r="C8">
        <f>C7+4.27</f>
        <v>20.981999999999999</v>
      </c>
      <c r="G8">
        <v>5</v>
      </c>
      <c r="H8">
        <f t="shared" si="8"/>
        <v>-5</v>
      </c>
      <c r="I8">
        <f t="shared" si="9"/>
        <v>-4</v>
      </c>
      <c r="J8">
        <f t="shared" si="0"/>
        <v>-3</v>
      </c>
      <c r="K8">
        <f t="shared" si="1"/>
        <v>-2</v>
      </c>
      <c r="L8">
        <f t="shared" si="2"/>
        <v>-1</v>
      </c>
      <c r="M8">
        <v>1</v>
      </c>
      <c r="N8">
        <f t="shared" si="4"/>
        <v>1</v>
      </c>
      <c r="O8">
        <f t="shared" si="5"/>
        <v>2</v>
      </c>
      <c r="P8">
        <f t="shared" si="6"/>
        <v>3</v>
      </c>
      <c r="Q8">
        <f t="shared" si="7"/>
        <v>4</v>
      </c>
    </row>
    <row r="9" spans="1:17" x14ac:dyDescent="0.35">
      <c r="B9">
        <v>21</v>
      </c>
      <c r="C9">
        <f>C8+4.162</f>
        <v>25.143999999999998</v>
      </c>
      <c r="G9">
        <v>6</v>
      </c>
      <c r="H9">
        <f t="shared" si="8"/>
        <v>-6</v>
      </c>
      <c r="I9">
        <f t="shared" si="9"/>
        <v>-5</v>
      </c>
      <c r="J9">
        <f t="shared" si="0"/>
        <v>-4</v>
      </c>
      <c r="K9">
        <f t="shared" si="1"/>
        <v>-3</v>
      </c>
      <c r="L9">
        <f t="shared" si="2"/>
        <v>-2</v>
      </c>
      <c r="M9">
        <f t="shared" si="3"/>
        <v>-1</v>
      </c>
      <c r="N9">
        <v>1</v>
      </c>
      <c r="O9">
        <f t="shared" si="5"/>
        <v>1</v>
      </c>
      <c r="P9">
        <f t="shared" si="6"/>
        <v>2</v>
      </c>
      <c r="Q9">
        <f t="shared" si="7"/>
        <v>3</v>
      </c>
    </row>
    <row r="10" spans="1:17" x14ac:dyDescent="0.35">
      <c r="B10">
        <v>24</v>
      </c>
      <c r="C10">
        <f>C9+3.661</f>
        <v>28.805</v>
      </c>
      <c r="G10">
        <v>7</v>
      </c>
      <c r="H10">
        <f t="shared" si="8"/>
        <v>-7</v>
      </c>
      <c r="I10">
        <f t="shared" si="9"/>
        <v>-6</v>
      </c>
      <c r="J10">
        <f t="shared" si="0"/>
        <v>-5</v>
      </c>
      <c r="K10">
        <f t="shared" si="1"/>
        <v>-4</v>
      </c>
      <c r="L10">
        <f t="shared" si="2"/>
        <v>-3</v>
      </c>
      <c r="M10">
        <f t="shared" si="3"/>
        <v>-2</v>
      </c>
      <c r="N10">
        <f t="shared" si="4"/>
        <v>-1</v>
      </c>
      <c r="O10">
        <v>1</v>
      </c>
      <c r="P10">
        <f t="shared" si="6"/>
        <v>1</v>
      </c>
      <c r="Q10">
        <f t="shared" si="7"/>
        <v>2</v>
      </c>
    </row>
    <row r="11" spans="1:17" x14ac:dyDescent="0.35">
      <c r="B11">
        <v>27</v>
      </c>
      <c r="C11">
        <f>2.816+C10</f>
        <v>31.620999999999999</v>
      </c>
      <c r="G11">
        <v>8</v>
      </c>
      <c r="H11">
        <f t="shared" si="8"/>
        <v>-8</v>
      </c>
      <c r="I11">
        <f t="shared" si="9"/>
        <v>-7</v>
      </c>
      <c r="J11">
        <f t="shared" si="0"/>
        <v>-6</v>
      </c>
      <c r="K11">
        <f t="shared" si="1"/>
        <v>-5</v>
      </c>
      <c r="L11">
        <f t="shared" si="2"/>
        <v>-4</v>
      </c>
      <c r="M11">
        <f t="shared" si="3"/>
        <v>-3</v>
      </c>
      <c r="N11">
        <f t="shared" si="4"/>
        <v>-2</v>
      </c>
      <c r="O11">
        <f t="shared" si="5"/>
        <v>-1</v>
      </c>
      <c r="P11">
        <v>1</v>
      </c>
      <c r="Q11">
        <f t="shared" si="7"/>
        <v>1</v>
      </c>
    </row>
    <row r="12" spans="1:17" x14ac:dyDescent="0.35">
      <c r="B12">
        <v>30</v>
      </c>
      <c r="C12">
        <f>C11+0.815</f>
        <v>32.436</v>
      </c>
      <c r="G12">
        <v>9</v>
      </c>
      <c r="H12">
        <f t="shared" si="8"/>
        <v>-9</v>
      </c>
      <c r="I12">
        <f t="shared" si="9"/>
        <v>-8</v>
      </c>
      <c r="J12">
        <f t="shared" si="0"/>
        <v>-7</v>
      </c>
      <c r="K12">
        <f t="shared" si="1"/>
        <v>-6</v>
      </c>
      <c r="L12">
        <f t="shared" si="2"/>
        <v>-5</v>
      </c>
      <c r="M12">
        <f t="shared" si="3"/>
        <v>-4</v>
      </c>
      <c r="N12">
        <f t="shared" si="4"/>
        <v>-3</v>
      </c>
      <c r="O12">
        <f t="shared" si="5"/>
        <v>-2</v>
      </c>
      <c r="P12">
        <f t="shared" si="6"/>
        <v>-1</v>
      </c>
      <c r="Q12">
        <v>1</v>
      </c>
    </row>
    <row r="14" spans="1:17" x14ac:dyDescent="0.35">
      <c r="H14" cm="1">
        <f t="array" ref="H14:Q14">TRANSPOSE(C3:C12)</f>
        <v>1.224</v>
      </c>
      <c r="I14">
        <v>3.2640000000000002</v>
      </c>
      <c r="J14">
        <v>6.8260000000000005</v>
      </c>
      <c r="K14">
        <v>11.41</v>
      </c>
      <c r="L14">
        <v>16.712</v>
      </c>
      <c r="M14">
        <v>20.981999999999999</v>
      </c>
      <c r="N14">
        <v>25.143999999999998</v>
      </c>
      <c r="O14">
        <v>28.805</v>
      </c>
      <c r="P14">
        <v>31.620999999999999</v>
      </c>
      <c r="Q14">
        <v>32.436</v>
      </c>
    </row>
    <row r="15" spans="1:17" x14ac:dyDescent="0.35">
      <c r="G15" s="13" t="s">
        <v>13</v>
      </c>
      <c r="H15" s="3">
        <f>H14/PRODUCT(H3:H12)</f>
        <v>-3.373015873015873E-6</v>
      </c>
      <c r="I15" s="3">
        <f>I14/PRODUCT(I3:I12)</f>
        <v>8.0952380952380962E-5</v>
      </c>
      <c r="J15" s="3">
        <f t="shared" ref="I15:Q15" si="10">J14/PRODUCT(J3:J12)</f>
        <v>-6.7718253968253978E-4</v>
      </c>
      <c r="K15" s="3">
        <f t="shared" si="10"/>
        <v>2.6412037037037038E-3</v>
      </c>
      <c r="L15" s="3">
        <f t="shared" si="10"/>
        <v>-5.8027777777777774E-3</v>
      </c>
      <c r="M15" s="3">
        <f t="shared" si="10"/>
        <v>7.2854166666666666E-3</v>
      </c>
      <c r="N15" s="3">
        <f t="shared" si="10"/>
        <v>-5.8203703703703698E-3</v>
      </c>
      <c r="O15" s="3">
        <f t="shared" si="10"/>
        <v>2.8576388888888887E-3</v>
      </c>
      <c r="P15" s="3">
        <f t="shared" si="10"/>
        <v>-7.8425099206349202E-4</v>
      </c>
      <c r="Q15" s="3">
        <f t="shared" si="10"/>
        <v>8.938492063492063E-5</v>
      </c>
    </row>
    <row r="17" spans="7:18" x14ac:dyDescent="0.35"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</row>
    <row r="18" spans="7:18" x14ac:dyDescent="0.35">
      <c r="G18" cm="1">
        <f t="array" ref="G18:G27">G3:G12</f>
        <v>0</v>
      </c>
      <c r="H18" cm="1">
        <f t="array" ref="H18:R18">I17:S17-G18*H17:R17</f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</row>
    <row r="19" spans="7:18" x14ac:dyDescent="0.35">
      <c r="G19">
        <v>1</v>
      </c>
      <c r="H19" cm="1">
        <f t="array" ref="H19:R19">I18:S18-G19*H18:R18</f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-1</v>
      </c>
      <c r="R19">
        <v>0</v>
      </c>
    </row>
    <row r="20" spans="7:18" x14ac:dyDescent="0.35">
      <c r="G20">
        <v>2</v>
      </c>
      <c r="H20" cm="1">
        <f t="array" ref="H20:R20">I19:S19-G20*H19:R19</f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-3</v>
      </c>
      <c r="Q20">
        <v>2</v>
      </c>
      <c r="R20">
        <v>0</v>
      </c>
    </row>
    <row r="21" spans="7:18" x14ac:dyDescent="0.35">
      <c r="G21">
        <v>3</v>
      </c>
      <c r="H21" cm="1">
        <f t="array" ref="H21:R21">I20:S20-G21*H20:R20</f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-6</v>
      </c>
      <c r="P21">
        <v>11</v>
      </c>
      <c r="Q21">
        <v>-6</v>
      </c>
      <c r="R21">
        <v>0</v>
      </c>
    </row>
    <row r="22" spans="7:18" x14ac:dyDescent="0.35">
      <c r="G22">
        <v>4</v>
      </c>
      <c r="H22" cm="1">
        <f t="array" ref="H22:R22">I21:S21-G22*H21:R21</f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-10</v>
      </c>
      <c r="O22">
        <v>35</v>
      </c>
      <c r="P22">
        <v>-50</v>
      </c>
      <c r="Q22">
        <v>24</v>
      </c>
      <c r="R22">
        <v>0</v>
      </c>
    </row>
    <row r="23" spans="7:18" x14ac:dyDescent="0.35">
      <c r="G23">
        <v>5</v>
      </c>
      <c r="H23" cm="1">
        <f t="array" ref="H23:R23">I22:S22-G23*H22:R22</f>
        <v>0</v>
      </c>
      <c r="I23">
        <v>0</v>
      </c>
      <c r="J23">
        <v>0</v>
      </c>
      <c r="K23">
        <v>0</v>
      </c>
      <c r="L23">
        <v>1</v>
      </c>
      <c r="M23">
        <v>-15</v>
      </c>
      <c r="N23">
        <v>85</v>
      </c>
      <c r="O23">
        <v>-225</v>
      </c>
      <c r="P23">
        <v>274</v>
      </c>
      <c r="Q23">
        <v>-120</v>
      </c>
      <c r="R23">
        <v>0</v>
      </c>
    </row>
    <row r="24" spans="7:18" x14ac:dyDescent="0.35">
      <c r="G24">
        <v>6</v>
      </c>
      <c r="H24" cm="1">
        <f t="array" ref="H24:R24">I23:S23-G24*H23:R23</f>
        <v>0</v>
      </c>
      <c r="I24">
        <v>0</v>
      </c>
      <c r="J24">
        <v>0</v>
      </c>
      <c r="K24">
        <v>1</v>
      </c>
      <c r="L24">
        <v>-21</v>
      </c>
      <c r="M24">
        <v>175</v>
      </c>
      <c r="N24">
        <v>-735</v>
      </c>
      <c r="O24">
        <v>1624</v>
      </c>
      <c r="P24">
        <v>-1764</v>
      </c>
      <c r="Q24">
        <v>720</v>
      </c>
      <c r="R24">
        <v>0</v>
      </c>
    </row>
    <row r="25" spans="7:18" x14ac:dyDescent="0.35">
      <c r="G25">
        <v>7</v>
      </c>
      <c r="H25" cm="1">
        <f t="array" ref="H25:R25">I24:S24-G25*H24:R24</f>
        <v>0</v>
      </c>
      <c r="I25">
        <v>0</v>
      </c>
      <c r="J25">
        <v>1</v>
      </c>
      <c r="K25">
        <v>-28</v>
      </c>
      <c r="L25">
        <v>322</v>
      </c>
      <c r="M25">
        <v>-1960</v>
      </c>
      <c r="N25">
        <v>6769</v>
      </c>
      <c r="O25">
        <v>-13132</v>
      </c>
      <c r="P25">
        <v>13068</v>
      </c>
      <c r="Q25">
        <v>-5040</v>
      </c>
      <c r="R25">
        <v>0</v>
      </c>
    </row>
    <row r="26" spans="7:18" x14ac:dyDescent="0.35">
      <c r="G26">
        <v>8</v>
      </c>
      <c r="H26" cm="1">
        <f t="array" ref="H26:R26">I25:S25-G26*H25:R25</f>
        <v>0</v>
      </c>
      <c r="I26">
        <v>1</v>
      </c>
      <c r="J26">
        <v>-36</v>
      </c>
      <c r="K26">
        <v>546</v>
      </c>
      <c r="L26">
        <v>-4536</v>
      </c>
      <c r="M26">
        <v>22449</v>
      </c>
      <c r="N26">
        <v>-67284</v>
      </c>
      <c r="O26">
        <v>118124</v>
      </c>
      <c r="P26">
        <v>-109584</v>
      </c>
      <c r="Q26">
        <v>40320</v>
      </c>
      <c r="R26">
        <v>0</v>
      </c>
    </row>
    <row r="27" spans="7:18" x14ac:dyDescent="0.35">
      <c r="G27">
        <v>9</v>
      </c>
      <c r="H27" s="1" cm="1">
        <f t="array" ref="H27:R27">I26:S26-G27*H26:R26</f>
        <v>1</v>
      </c>
      <c r="I27" s="1">
        <v>-45</v>
      </c>
      <c r="J27" s="1">
        <v>870</v>
      </c>
      <c r="K27" s="1">
        <v>-9450</v>
      </c>
      <c r="L27" s="1">
        <v>63273</v>
      </c>
      <c r="M27" s="1">
        <v>-269325</v>
      </c>
      <c r="N27" s="1">
        <v>723680</v>
      </c>
      <c r="O27" s="1">
        <v>-1172700</v>
      </c>
      <c r="P27" s="1">
        <v>1026576</v>
      </c>
      <c r="Q27" s="1">
        <v>-362880</v>
      </c>
      <c r="R27">
        <v>0</v>
      </c>
    </row>
    <row r="28" spans="7:18" ht="15" thickBot="1" x14ac:dyDescent="0.4"/>
    <row r="29" spans="7:18" x14ac:dyDescent="0.35">
      <c r="G29" cm="1">
        <f t="array" ref="G29:G38">G3:G12</f>
        <v>0</v>
      </c>
      <c r="H29" s="4">
        <f>$H$27</f>
        <v>1</v>
      </c>
      <c r="I29" s="5">
        <f>I27+$G$29*H29</f>
        <v>-45</v>
      </c>
      <c r="J29" s="5">
        <f t="shared" ref="J29:R29" si="11">J27+$G$29*I29</f>
        <v>870</v>
      </c>
      <c r="K29" s="5">
        <f t="shared" si="11"/>
        <v>-9450</v>
      </c>
      <c r="L29" s="5">
        <f t="shared" si="11"/>
        <v>63273</v>
      </c>
      <c r="M29" s="5">
        <f t="shared" si="11"/>
        <v>-269325</v>
      </c>
      <c r="N29" s="5">
        <f t="shared" si="11"/>
        <v>723680</v>
      </c>
      <c r="O29" s="5">
        <f t="shared" si="11"/>
        <v>-1172700</v>
      </c>
      <c r="P29" s="5">
        <f t="shared" si="11"/>
        <v>1026576</v>
      </c>
      <c r="Q29" s="6">
        <f t="shared" si="11"/>
        <v>-362880</v>
      </c>
      <c r="R29">
        <f t="shared" si="11"/>
        <v>0</v>
      </c>
    </row>
    <row r="30" spans="7:18" x14ac:dyDescent="0.35">
      <c r="G30">
        <v>1</v>
      </c>
      <c r="H30" s="7">
        <f t="shared" ref="H30:H38" si="12">$H$27</f>
        <v>1</v>
      </c>
      <c r="I30" s="14">
        <f>I27+$G$30*H30</f>
        <v>-44</v>
      </c>
      <c r="J30" s="14">
        <f t="shared" ref="J30:R30" si="13">J27+$G$30*I30</f>
        <v>826</v>
      </c>
      <c r="K30" s="14">
        <f t="shared" si="13"/>
        <v>-8624</v>
      </c>
      <c r="L30" s="14">
        <f t="shared" si="13"/>
        <v>54649</v>
      </c>
      <c r="M30" s="14">
        <f t="shared" si="13"/>
        <v>-214676</v>
      </c>
      <c r="N30" s="14">
        <f t="shared" si="13"/>
        <v>509004</v>
      </c>
      <c r="O30" s="14">
        <f t="shared" si="13"/>
        <v>-663696</v>
      </c>
      <c r="P30" s="14">
        <f t="shared" si="13"/>
        <v>362880</v>
      </c>
      <c r="Q30" s="8">
        <f t="shared" si="13"/>
        <v>0</v>
      </c>
      <c r="R30">
        <f t="shared" si="13"/>
        <v>0</v>
      </c>
    </row>
    <row r="31" spans="7:18" x14ac:dyDescent="0.35">
      <c r="G31">
        <v>2</v>
      </c>
      <c r="H31" s="7">
        <f t="shared" si="12"/>
        <v>1</v>
      </c>
      <c r="I31" s="14">
        <f>I27+$G$31*H31</f>
        <v>-43</v>
      </c>
      <c r="J31" s="14">
        <f t="shared" ref="J31:R31" si="14">J27+$G$31*I31</f>
        <v>784</v>
      </c>
      <c r="K31" s="14">
        <f t="shared" si="14"/>
        <v>-7882</v>
      </c>
      <c r="L31" s="14">
        <f t="shared" si="14"/>
        <v>47509</v>
      </c>
      <c r="M31" s="14">
        <f t="shared" si="14"/>
        <v>-174307</v>
      </c>
      <c r="N31" s="14">
        <f t="shared" si="14"/>
        <v>375066</v>
      </c>
      <c r="O31" s="14">
        <f t="shared" si="14"/>
        <v>-422568</v>
      </c>
      <c r="P31" s="14">
        <f t="shared" si="14"/>
        <v>181440</v>
      </c>
      <c r="Q31" s="8">
        <f t="shared" si="14"/>
        <v>0</v>
      </c>
      <c r="R31">
        <f t="shared" si="14"/>
        <v>0</v>
      </c>
    </row>
    <row r="32" spans="7:18" x14ac:dyDescent="0.35">
      <c r="G32">
        <v>3</v>
      </c>
      <c r="H32" s="7">
        <f t="shared" si="12"/>
        <v>1</v>
      </c>
      <c r="I32" s="14">
        <f>I27+$G$32*H32</f>
        <v>-42</v>
      </c>
      <c r="J32" s="14">
        <f t="shared" ref="J32:R32" si="15">J27+$G$32*I32</f>
        <v>744</v>
      </c>
      <c r="K32" s="14">
        <f t="shared" si="15"/>
        <v>-7218</v>
      </c>
      <c r="L32" s="14">
        <f t="shared" si="15"/>
        <v>41619</v>
      </c>
      <c r="M32" s="14">
        <f t="shared" si="15"/>
        <v>-144468</v>
      </c>
      <c r="N32" s="14">
        <f t="shared" si="15"/>
        <v>290276</v>
      </c>
      <c r="O32" s="14">
        <f t="shared" si="15"/>
        <v>-301872</v>
      </c>
      <c r="P32" s="14">
        <f t="shared" si="15"/>
        <v>120960</v>
      </c>
      <c r="Q32" s="8">
        <f t="shared" si="15"/>
        <v>0</v>
      </c>
      <c r="R32">
        <f t="shared" si="15"/>
        <v>0</v>
      </c>
    </row>
    <row r="33" spans="6:18" x14ac:dyDescent="0.35">
      <c r="G33">
        <v>4</v>
      </c>
      <c r="H33" s="7">
        <f t="shared" si="12"/>
        <v>1</v>
      </c>
      <c r="I33" s="14">
        <f>I27+$G$33*H33</f>
        <v>-41</v>
      </c>
      <c r="J33" s="14">
        <f t="shared" ref="J33:R33" si="16">J27+$G$33*I33</f>
        <v>706</v>
      </c>
      <c r="K33" s="14">
        <f t="shared" si="16"/>
        <v>-6626</v>
      </c>
      <c r="L33" s="14">
        <f t="shared" si="16"/>
        <v>36769</v>
      </c>
      <c r="M33" s="14">
        <f t="shared" si="16"/>
        <v>-122249</v>
      </c>
      <c r="N33" s="14">
        <f t="shared" si="16"/>
        <v>234684</v>
      </c>
      <c r="O33" s="14">
        <f t="shared" si="16"/>
        <v>-233964</v>
      </c>
      <c r="P33" s="14">
        <f t="shared" si="16"/>
        <v>90720</v>
      </c>
      <c r="Q33" s="8">
        <f t="shared" si="16"/>
        <v>0</v>
      </c>
      <c r="R33">
        <f t="shared" si="16"/>
        <v>0</v>
      </c>
    </row>
    <row r="34" spans="6:18" x14ac:dyDescent="0.35">
      <c r="G34">
        <v>5</v>
      </c>
      <c r="H34" s="7">
        <f t="shared" si="12"/>
        <v>1</v>
      </c>
      <c r="I34" s="14">
        <f>I27+$G$34*H34</f>
        <v>-40</v>
      </c>
      <c r="J34" s="14">
        <f t="shared" ref="J34:R34" si="17">J27+$G$34*I34</f>
        <v>670</v>
      </c>
      <c r="K34" s="14">
        <f t="shared" si="17"/>
        <v>-6100</v>
      </c>
      <c r="L34" s="14">
        <f t="shared" si="17"/>
        <v>32773</v>
      </c>
      <c r="M34" s="14">
        <f t="shared" si="17"/>
        <v>-105460</v>
      </c>
      <c r="N34" s="14">
        <f t="shared" si="17"/>
        <v>196380</v>
      </c>
      <c r="O34" s="14">
        <f t="shared" si="17"/>
        <v>-190800</v>
      </c>
      <c r="P34" s="14">
        <f t="shared" si="17"/>
        <v>72576</v>
      </c>
      <c r="Q34" s="8">
        <f>Q27+$G$34*P34</f>
        <v>0</v>
      </c>
      <c r="R34">
        <f t="shared" si="17"/>
        <v>0</v>
      </c>
    </row>
    <row r="35" spans="6:18" x14ac:dyDescent="0.35">
      <c r="G35">
        <v>6</v>
      </c>
      <c r="H35" s="7">
        <f t="shared" si="12"/>
        <v>1</v>
      </c>
      <c r="I35" s="14">
        <f>I27+$G$35*H35</f>
        <v>-39</v>
      </c>
      <c r="J35" s="14">
        <f t="shared" ref="J35:R35" si="18">J27+$G$35*I35</f>
        <v>636</v>
      </c>
      <c r="K35" s="14">
        <f t="shared" si="18"/>
        <v>-5634</v>
      </c>
      <c r="L35" s="14">
        <f t="shared" si="18"/>
        <v>29469</v>
      </c>
      <c r="M35" s="14">
        <f t="shared" si="18"/>
        <v>-92511</v>
      </c>
      <c r="N35" s="14">
        <f t="shared" si="18"/>
        <v>168614</v>
      </c>
      <c r="O35" s="14">
        <f t="shared" si="18"/>
        <v>-161016</v>
      </c>
      <c r="P35" s="14">
        <f t="shared" si="18"/>
        <v>60480</v>
      </c>
      <c r="Q35" s="8">
        <f t="shared" si="18"/>
        <v>0</v>
      </c>
      <c r="R35">
        <f t="shared" si="18"/>
        <v>0</v>
      </c>
    </row>
    <row r="36" spans="6:18" x14ac:dyDescent="0.35">
      <c r="G36">
        <v>7</v>
      </c>
      <c r="H36" s="7">
        <f t="shared" si="12"/>
        <v>1</v>
      </c>
      <c r="I36" s="14">
        <f>I27+$G$36*H36</f>
        <v>-38</v>
      </c>
      <c r="J36" s="14">
        <f t="shared" ref="J36:R36" si="19">J27+$G$36*I36</f>
        <v>604</v>
      </c>
      <c r="K36" s="14">
        <f t="shared" si="19"/>
        <v>-5222</v>
      </c>
      <c r="L36" s="14">
        <f t="shared" si="19"/>
        <v>26719</v>
      </c>
      <c r="M36" s="14">
        <f t="shared" si="19"/>
        <v>-82292</v>
      </c>
      <c r="N36" s="14">
        <f t="shared" si="19"/>
        <v>147636</v>
      </c>
      <c r="O36" s="14">
        <f t="shared" si="19"/>
        <v>-139248</v>
      </c>
      <c r="P36" s="14">
        <f t="shared" si="19"/>
        <v>51840</v>
      </c>
      <c r="Q36" s="8">
        <f t="shared" si="19"/>
        <v>0</v>
      </c>
      <c r="R36">
        <f t="shared" si="19"/>
        <v>0</v>
      </c>
    </row>
    <row r="37" spans="6:18" x14ac:dyDescent="0.35">
      <c r="G37">
        <v>8</v>
      </c>
      <c r="H37" s="7">
        <f t="shared" si="12"/>
        <v>1</v>
      </c>
      <c r="I37" s="14">
        <f>I27+$G$37*H37</f>
        <v>-37</v>
      </c>
      <c r="J37" s="14">
        <f t="shared" ref="J37:R37" si="20">J27+$G$37*I37</f>
        <v>574</v>
      </c>
      <c r="K37" s="14">
        <f t="shared" si="20"/>
        <v>-4858</v>
      </c>
      <c r="L37" s="14">
        <f t="shared" si="20"/>
        <v>24409</v>
      </c>
      <c r="M37" s="14">
        <f t="shared" si="20"/>
        <v>-74053</v>
      </c>
      <c r="N37" s="14">
        <f t="shared" si="20"/>
        <v>131256</v>
      </c>
      <c r="O37" s="14">
        <f t="shared" si="20"/>
        <v>-122652</v>
      </c>
      <c r="P37" s="14">
        <f t="shared" si="20"/>
        <v>45360</v>
      </c>
      <c r="Q37" s="8">
        <f t="shared" si="20"/>
        <v>0</v>
      </c>
      <c r="R37">
        <f t="shared" si="20"/>
        <v>0</v>
      </c>
    </row>
    <row r="38" spans="6:18" ht="15" thickBot="1" x14ac:dyDescent="0.4">
      <c r="G38">
        <v>9</v>
      </c>
      <c r="H38" s="9">
        <f t="shared" si="12"/>
        <v>1</v>
      </c>
      <c r="I38" s="10">
        <f>I27+$G$38*H38</f>
        <v>-36</v>
      </c>
      <c r="J38" s="10">
        <f t="shared" ref="J38:R38" si="21">J27+$G$38*I38</f>
        <v>546</v>
      </c>
      <c r="K38" s="10">
        <f t="shared" si="21"/>
        <v>-4536</v>
      </c>
      <c r="L38" s="10">
        <f t="shared" si="21"/>
        <v>22449</v>
      </c>
      <c r="M38" s="10">
        <f t="shared" si="21"/>
        <v>-67284</v>
      </c>
      <c r="N38" s="10">
        <f t="shared" si="21"/>
        <v>118124</v>
      </c>
      <c r="O38" s="10">
        <f t="shared" si="21"/>
        <v>-109584</v>
      </c>
      <c r="P38" s="10">
        <f t="shared" si="21"/>
        <v>40320</v>
      </c>
      <c r="Q38" s="11">
        <f t="shared" si="21"/>
        <v>0</v>
      </c>
      <c r="R38">
        <f t="shared" si="21"/>
        <v>0</v>
      </c>
    </row>
    <row r="41" spans="6:18" x14ac:dyDescent="0.35">
      <c r="F41" t="s">
        <v>14</v>
      </c>
      <c r="H41" cm="1">
        <f t="array" ref="H41:Q41">MMULT(H15:Q15,H29:Q38)</f>
        <v>-1.3335813492063405E-4</v>
      </c>
      <c r="I41">
        <v>5.478993055555539E-3</v>
      </c>
      <c r="J41">
        <v>-9.4552926587301064E-2</v>
      </c>
      <c r="K41">
        <v>0.88906770833333371</v>
      </c>
      <c r="L41">
        <v>-4.9382595486110867</v>
      </c>
      <c r="M41">
        <v>16.411310937500033</v>
      </c>
      <c r="N41">
        <v>-31.539672023809423</v>
      </c>
      <c r="O41">
        <v>32.308642361110948</v>
      </c>
      <c r="P41">
        <v>-11.001882142857134</v>
      </c>
      <c r="Q41">
        <v>1.224</v>
      </c>
    </row>
    <row r="42" spans="6:18" x14ac:dyDescent="0.35">
      <c r="G42">
        <f>(D1-B3)/B1</f>
        <v>6.0197694759089826</v>
      </c>
      <c r="H42">
        <f>H41</f>
        <v>-1.3335813492063405E-4</v>
      </c>
      <c r="I42">
        <f>I41+$G$42*H42</f>
        <v>4.6762078255961547E-3</v>
      </c>
      <c r="J42">
        <f t="shared" ref="J42:Q42" si="22">J41+$G$42*I42</f>
        <v>-6.6403233455770622E-2</v>
      </c>
      <c r="K42">
        <f t="shared" si="22"/>
        <v>0.48933555047462757</v>
      </c>
      <c r="L42">
        <f t="shared" si="22"/>
        <v>-1.9925723383868044</v>
      </c>
      <c r="M42">
        <f t="shared" si="22"/>
        <v>4.4164847963385636</v>
      </c>
      <c r="N42">
        <f t="shared" si="22"/>
        <v>-4.9534516559944386</v>
      </c>
      <c r="O42">
        <f t="shared" si="22"/>
        <v>2.4900052819648231</v>
      </c>
      <c r="P42">
        <f t="shared" si="22"/>
        <v>3.9873756483668465</v>
      </c>
      <c r="Q42" s="1">
        <f t="shared" si="22"/>
        <v>25.227082217021533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Bài 16 (7 mốc)</vt:lpstr>
      <vt:lpstr>2019.1 ( 10 mốc 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Đặng Quyết</dc:creator>
  <cp:lastModifiedBy>Dang Quyet Tien 20227033</cp:lastModifiedBy>
  <dcterms:created xsi:type="dcterms:W3CDTF">2015-06-05T18:17:20Z</dcterms:created>
  <dcterms:modified xsi:type="dcterms:W3CDTF">2024-11-03T07:08:21Z</dcterms:modified>
</cp:coreProperties>
</file>