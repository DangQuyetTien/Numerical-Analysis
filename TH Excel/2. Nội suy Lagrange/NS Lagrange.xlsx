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tien\Desktop\PPS\Tien\2. Nội suy Lagrange\"/>
    </mc:Choice>
  </mc:AlternateContent>
  <xr:revisionPtr revIDLastSave="0" documentId="13_ncr:1_{6D497369-4BC8-4711-8D40-FC1924AEED6C}" xr6:coauthVersionLast="47" xr6:coauthVersionMax="47" xr10:uidLastSave="{00000000-0000-0000-0000-000000000000}"/>
  <bookViews>
    <workbookView xWindow="-110" yWindow="-110" windowWidth="19420" windowHeight="10300" xr2:uid="{5BD4B9CE-1AEB-4ADA-AF0E-C1B8E1B0A0E2}"/>
  </bookViews>
  <sheets>
    <sheet name="20191.1 ( 10 mốc )" sheetId="7" r:id="rId1"/>
    <sheet name="Sheet1" sheetId="1" r:id="rId2"/>
    <sheet name="Sheet2" sheetId="2" r:id="rId3"/>
    <sheet name="6 mốc" sheetId="5" r:id="rId4"/>
    <sheet name="Bài 16 (7 mốc)" sheetId="3" r:id="rId5"/>
    <sheet name="8 mốc" sheetId="4" r:id="rId6"/>
    <sheet name="9 mốc" sheetId="6" r:id="rId7"/>
  </sheets>
  <definedNames>
    <definedName name="FromArray_1">_xlfn.ANCHORARRAY('Bài 16 (7 mốc)'!$C$30)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3" l="1"/>
  <c r="I11" i="3"/>
  <c r="H11" i="3"/>
  <c r="G11" i="3"/>
  <c r="F11" i="3"/>
  <c r="E11" i="3"/>
  <c r="D11" i="3"/>
  <c r="I9" i="3"/>
  <c r="H9" i="3"/>
  <c r="G9" i="3"/>
  <c r="F9" i="3"/>
  <c r="E9" i="3"/>
  <c r="D9" i="3"/>
  <c r="J8" i="3"/>
  <c r="H8" i="3"/>
  <c r="G8" i="3"/>
  <c r="F8" i="3"/>
  <c r="E8" i="3"/>
  <c r="D8" i="3"/>
  <c r="J7" i="3"/>
  <c r="I7" i="3"/>
  <c r="G7" i="3"/>
  <c r="F7" i="3"/>
  <c r="E7" i="3"/>
  <c r="D7" i="3"/>
  <c r="J6" i="3"/>
  <c r="I6" i="3"/>
  <c r="H6" i="3"/>
  <c r="F6" i="3"/>
  <c r="E6" i="3"/>
  <c r="D6" i="3"/>
  <c r="J5" i="3"/>
  <c r="I5" i="3"/>
  <c r="H5" i="3"/>
  <c r="G5" i="3"/>
  <c r="E5" i="3"/>
  <c r="D5" i="3"/>
  <c r="J4" i="3"/>
  <c r="I4" i="3"/>
  <c r="H4" i="3"/>
  <c r="G4" i="3"/>
  <c r="F4" i="3"/>
  <c r="D4" i="3"/>
  <c r="J3" i="3"/>
  <c r="I3" i="3"/>
  <c r="H3" i="3"/>
  <c r="G3" i="3"/>
  <c r="F3" i="3"/>
  <c r="E3" i="3"/>
  <c r="B31" i="7" a="1"/>
  <c r="B31" i="7" s="1"/>
  <c r="B19" i="7" a="1"/>
  <c r="B19" i="7" s="1"/>
  <c r="C19" i="7" s="1" a="1"/>
  <c r="C19" i="7" s="1"/>
  <c r="C20" i="7" s="1" a="1"/>
  <c r="C20" i="7" s="1"/>
  <c r="B4" i="7"/>
  <c r="D4" i="7"/>
  <c r="D14" i="7" a="1"/>
  <c r="D14" i="7"/>
  <c r="E21" i="5"/>
  <c r="D21" i="5"/>
  <c r="E11" i="5"/>
  <c r="D11" i="5"/>
  <c r="D25" i="6"/>
  <c r="C34" i="4" a="1"/>
  <c r="C34" i="4" s="1"/>
  <c r="C34" i="6" a="1"/>
  <c r="C34" i="6" s="1"/>
  <c r="C25" i="6"/>
  <c r="E33" i="6"/>
  <c r="F33" i="6" s="1"/>
  <c r="G33" i="6" s="1"/>
  <c r="H33" i="6" s="1"/>
  <c r="I33" i="6" s="1"/>
  <c r="J33" i="6" s="1"/>
  <c r="K33" i="6" s="1"/>
  <c r="L33" i="6" s="1"/>
  <c r="E32" i="6"/>
  <c r="F32" i="6" s="1"/>
  <c r="G32" i="6" s="1"/>
  <c r="H32" i="6" s="1"/>
  <c r="I32" i="6" s="1"/>
  <c r="J32" i="6" s="1"/>
  <c r="K32" i="6" s="1"/>
  <c r="L32" i="6" s="1"/>
  <c r="E31" i="6"/>
  <c r="F31" i="6" s="1"/>
  <c r="G31" i="6" s="1"/>
  <c r="H31" i="6" s="1"/>
  <c r="I31" i="6" s="1"/>
  <c r="J31" i="6" s="1"/>
  <c r="K31" i="6" s="1"/>
  <c r="L31" i="6" s="1"/>
  <c r="E30" i="6"/>
  <c r="F30" i="6" s="1"/>
  <c r="G30" i="6" s="1"/>
  <c r="H30" i="6" s="1"/>
  <c r="I30" i="6" s="1"/>
  <c r="J30" i="6" s="1"/>
  <c r="K30" i="6" s="1"/>
  <c r="L30" i="6" s="1"/>
  <c r="E29" i="6"/>
  <c r="F29" i="6" s="1"/>
  <c r="G29" i="6" s="1"/>
  <c r="H29" i="6" s="1"/>
  <c r="I29" i="6" s="1"/>
  <c r="J29" i="6" s="1"/>
  <c r="K29" i="6" s="1"/>
  <c r="L29" i="6" s="1"/>
  <c r="E28" i="6"/>
  <c r="F28" i="6" s="1"/>
  <c r="G28" i="6" s="1"/>
  <c r="H28" i="6" s="1"/>
  <c r="I28" i="6" s="1"/>
  <c r="J28" i="6" s="1"/>
  <c r="K28" i="6" s="1"/>
  <c r="L28" i="6" s="1"/>
  <c r="E27" i="6"/>
  <c r="F27" i="6" s="1"/>
  <c r="G27" i="6" s="1"/>
  <c r="H27" i="6" s="1"/>
  <c r="I27" i="6" s="1"/>
  <c r="J27" i="6" s="1"/>
  <c r="K27" i="6" s="1"/>
  <c r="L27" i="6" s="1"/>
  <c r="D33" i="6"/>
  <c r="D32" i="6"/>
  <c r="D31" i="6"/>
  <c r="D30" i="6"/>
  <c r="D29" i="6"/>
  <c r="D28" i="6"/>
  <c r="D27" i="6"/>
  <c r="E26" i="6"/>
  <c r="F26" i="6" s="1"/>
  <c r="G26" i="6" s="1"/>
  <c r="H26" i="6" s="1"/>
  <c r="I26" i="6" s="1"/>
  <c r="J26" i="6" s="1"/>
  <c r="K26" i="6" s="1"/>
  <c r="L26" i="6" s="1"/>
  <c r="D26" i="6"/>
  <c r="E25" i="6"/>
  <c r="F25" i="6" s="1"/>
  <c r="G25" i="6" s="1"/>
  <c r="H25" i="6" s="1"/>
  <c r="I25" i="6" s="1"/>
  <c r="J25" i="6" s="1"/>
  <c r="K25" i="6" s="1"/>
  <c r="L25" i="6" s="1"/>
  <c r="C33" i="6"/>
  <c r="C26" i="6"/>
  <c r="C27" i="6"/>
  <c r="C28" i="6"/>
  <c r="C29" i="6"/>
  <c r="C30" i="6"/>
  <c r="C31" i="6"/>
  <c r="C32" i="6"/>
  <c r="C17" i="6" a="1"/>
  <c r="C17" i="6" s="1"/>
  <c r="C18" i="6" s="1" a="1"/>
  <c r="C18" i="6" s="1"/>
  <c r="C19" i="6" s="1" a="1"/>
  <c r="C19" i="6" s="1"/>
  <c r="C20" i="6" s="1" a="1"/>
  <c r="C20" i="6" s="1"/>
  <c r="C21" i="6" s="1" a="1"/>
  <c r="C21" i="6" s="1"/>
  <c r="C22" i="6" s="1" a="1"/>
  <c r="C22" i="6" s="1"/>
  <c r="C23" i="6" s="1" a="1"/>
  <c r="C23" i="6" s="1"/>
  <c r="C24" i="6" s="1" a="1"/>
  <c r="C24" i="6" s="1"/>
  <c r="C16" i="6" a="1"/>
  <c r="C16" i="6" s="1"/>
  <c r="F13" i="6"/>
  <c r="G13" i="6"/>
  <c r="H13" i="6"/>
  <c r="I13" i="6"/>
  <c r="J13" i="6"/>
  <c r="K13" i="6"/>
  <c r="L13" i="6"/>
  <c r="M13" i="6"/>
  <c r="E13" i="6"/>
  <c r="K11" i="6"/>
  <c r="J11" i="6"/>
  <c r="I11" i="6"/>
  <c r="H11" i="6"/>
  <c r="G11" i="6"/>
  <c r="F11" i="6"/>
  <c r="E11" i="6"/>
  <c r="M4" i="6"/>
  <c r="M5" i="6"/>
  <c r="M6" i="6"/>
  <c r="M7" i="6"/>
  <c r="M8" i="6"/>
  <c r="M9" i="6"/>
  <c r="M10" i="6"/>
  <c r="M3" i="6"/>
  <c r="E12" i="6" a="1"/>
  <c r="E12" i="6" s="1"/>
  <c r="C11" i="6"/>
  <c r="B25" i="6" a="1"/>
  <c r="B25" i="6" s="1"/>
  <c r="B16" i="6" a="1"/>
  <c r="K10" i="6"/>
  <c r="J10" i="6"/>
  <c r="I10" i="6"/>
  <c r="H10" i="6"/>
  <c r="G10" i="6"/>
  <c r="F10" i="6"/>
  <c r="E10" i="6"/>
  <c r="C10" i="6"/>
  <c r="L9" i="6"/>
  <c r="J9" i="6"/>
  <c r="I9" i="6"/>
  <c r="H9" i="6"/>
  <c r="G9" i="6"/>
  <c r="F9" i="6"/>
  <c r="E9" i="6"/>
  <c r="C9" i="6"/>
  <c r="L8" i="6"/>
  <c r="K8" i="6"/>
  <c r="I8" i="6"/>
  <c r="H8" i="6"/>
  <c r="G8" i="6"/>
  <c r="F8" i="6"/>
  <c r="E8" i="6"/>
  <c r="C8" i="6"/>
  <c r="L7" i="6"/>
  <c r="K7" i="6"/>
  <c r="J7" i="6"/>
  <c r="H7" i="6"/>
  <c r="G7" i="6"/>
  <c r="F7" i="6"/>
  <c r="E7" i="6"/>
  <c r="C7" i="6"/>
  <c r="L6" i="6"/>
  <c r="K6" i="6"/>
  <c r="J6" i="6"/>
  <c r="I6" i="6"/>
  <c r="G6" i="6"/>
  <c r="F6" i="6"/>
  <c r="E6" i="6"/>
  <c r="C6" i="6"/>
  <c r="L5" i="6"/>
  <c r="K5" i="6"/>
  <c r="J5" i="6"/>
  <c r="I5" i="6"/>
  <c r="H5" i="6"/>
  <c r="F5" i="6"/>
  <c r="E5" i="6"/>
  <c r="C5" i="6"/>
  <c r="L4" i="6"/>
  <c r="K4" i="6"/>
  <c r="J4" i="6"/>
  <c r="I4" i="6"/>
  <c r="H4" i="6"/>
  <c r="G4" i="6"/>
  <c r="E4" i="6"/>
  <c r="C4" i="6"/>
  <c r="L3" i="6"/>
  <c r="K3" i="6"/>
  <c r="J3" i="6"/>
  <c r="I3" i="6"/>
  <c r="H3" i="6"/>
  <c r="G3" i="6"/>
  <c r="F3" i="6"/>
  <c r="C3" i="6"/>
  <c r="C30" i="5" a="1"/>
  <c r="C30" i="5" s="1"/>
  <c r="B21" i="5" a="1"/>
  <c r="B21" i="5" s="1"/>
  <c r="B14" i="5" a="1"/>
  <c r="B14" i="5" s="1"/>
  <c r="F11" i="5"/>
  <c r="G11" i="5"/>
  <c r="H11" i="5"/>
  <c r="I11" i="5"/>
  <c r="D10" i="5" a="1"/>
  <c r="D10" i="5" s="1"/>
  <c r="H8" i="5"/>
  <c r="G8" i="5"/>
  <c r="F8" i="5"/>
  <c r="E8" i="5"/>
  <c r="D8" i="5"/>
  <c r="C8" i="5"/>
  <c r="I7" i="5"/>
  <c r="G7" i="5"/>
  <c r="F7" i="5"/>
  <c r="E7" i="5"/>
  <c r="D7" i="5"/>
  <c r="C7" i="5"/>
  <c r="I6" i="5"/>
  <c r="H6" i="5"/>
  <c r="F6" i="5"/>
  <c r="E6" i="5"/>
  <c r="D6" i="5"/>
  <c r="C6" i="5"/>
  <c r="I5" i="5"/>
  <c r="H5" i="5"/>
  <c r="G5" i="5"/>
  <c r="E5" i="5"/>
  <c r="D5" i="5"/>
  <c r="C5" i="5"/>
  <c r="I4" i="5"/>
  <c r="H4" i="5"/>
  <c r="G4" i="5"/>
  <c r="F4" i="5"/>
  <c r="D4" i="5"/>
  <c r="C4" i="5"/>
  <c r="I3" i="5"/>
  <c r="H3" i="5"/>
  <c r="G3" i="5"/>
  <c r="F3" i="5"/>
  <c r="E3" i="5"/>
  <c r="C3" i="5"/>
  <c r="E3" i="7" l="1"/>
  <c r="B5" i="7"/>
  <c r="C21" i="7" a="1"/>
  <c r="C21" i="7" s="1"/>
  <c r="B16" i="6"/>
  <c r="C14" i="5" a="1"/>
  <c r="C14" i="5" s="1"/>
  <c r="C15" i="5" s="1" a="1"/>
  <c r="C15" i="5" s="1"/>
  <c r="C16" i="5" s="1" a="1"/>
  <c r="C16" i="5" s="1"/>
  <c r="C17" i="5" s="1" a="1"/>
  <c r="C17" i="5" s="1"/>
  <c r="C18" i="5" s="1" a="1"/>
  <c r="C18" i="5" s="1"/>
  <c r="C19" i="5" s="1" a="1"/>
  <c r="C19" i="5" s="1"/>
  <c r="D36" i="4"/>
  <c r="D37" i="4" s="1"/>
  <c r="C37" i="4"/>
  <c r="C36" i="4"/>
  <c r="C35" i="4"/>
  <c r="D35" i="4" s="1"/>
  <c r="E35" i="4" s="1"/>
  <c r="E31" i="4"/>
  <c r="F31" i="4" s="1"/>
  <c r="G31" i="4" s="1"/>
  <c r="H31" i="4" s="1"/>
  <c r="I31" i="4" s="1"/>
  <c r="J31" i="4" s="1"/>
  <c r="K31" i="4" s="1"/>
  <c r="D31" i="4"/>
  <c r="E30" i="4"/>
  <c r="F30" i="4"/>
  <c r="G30" i="4" s="1"/>
  <c r="H30" i="4" s="1"/>
  <c r="I30" i="4" s="1"/>
  <c r="J30" i="4" s="1"/>
  <c r="K30" i="4" s="1"/>
  <c r="D30" i="4"/>
  <c r="E29" i="4"/>
  <c r="F29" i="4" s="1"/>
  <c r="G29" i="4" s="1"/>
  <c r="H29" i="4" s="1"/>
  <c r="I29" i="4" s="1"/>
  <c r="J29" i="4" s="1"/>
  <c r="K29" i="4" s="1"/>
  <c r="D29" i="4"/>
  <c r="E28" i="4"/>
  <c r="F28" i="4" s="1"/>
  <c r="G28" i="4" s="1"/>
  <c r="H28" i="4" s="1"/>
  <c r="I28" i="4" s="1"/>
  <c r="J28" i="4" s="1"/>
  <c r="K28" i="4" s="1"/>
  <c r="D28" i="4"/>
  <c r="E27" i="4"/>
  <c r="F27" i="4" s="1"/>
  <c r="G27" i="4" s="1"/>
  <c r="H27" i="4" s="1"/>
  <c r="I27" i="4" s="1"/>
  <c r="J27" i="4" s="1"/>
  <c r="K27" i="4" s="1"/>
  <c r="D27" i="4"/>
  <c r="E26" i="4"/>
  <c r="F26" i="4" s="1"/>
  <c r="G26" i="4" s="1"/>
  <c r="H26" i="4" s="1"/>
  <c r="I26" i="4" s="1"/>
  <c r="J26" i="4" s="1"/>
  <c r="K26" i="4" s="1"/>
  <c r="D26" i="4"/>
  <c r="D25" i="4"/>
  <c r="E25" i="4"/>
  <c r="F25" i="4"/>
  <c r="G25" i="4" s="1"/>
  <c r="H25" i="4" s="1"/>
  <c r="I25" i="4" s="1"/>
  <c r="J25" i="4" s="1"/>
  <c r="K25" i="4" s="1"/>
  <c r="E24" i="4"/>
  <c r="F24" i="4" s="1"/>
  <c r="G24" i="4" s="1"/>
  <c r="H24" i="4" s="1"/>
  <c r="I24" i="4" s="1"/>
  <c r="J24" i="4" s="1"/>
  <c r="K24" i="4" s="1"/>
  <c r="D24" i="4"/>
  <c r="C25" i="4"/>
  <c r="C26" i="4"/>
  <c r="C27" i="4"/>
  <c r="C28" i="4"/>
  <c r="C29" i="4"/>
  <c r="C30" i="4"/>
  <c r="C31" i="4"/>
  <c r="C24" i="4"/>
  <c r="C17" i="4" a="1"/>
  <c r="C17" i="4" s="1"/>
  <c r="C18" i="4" s="1" a="1"/>
  <c r="C18" i="4" s="1"/>
  <c r="C19" i="4" s="1" a="1"/>
  <c r="C19" i="4" s="1"/>
  <c r="C20" i="4" s="1" a="1"/>
  <c r="C20" i="4" s="1"/>
  <c r="C21" i="4" s="1" a="1"/>
  <c r="C21" i="4" s="1"/>
  <c r="C22" i="4" s="1" a="1"/>
  <c r="C22" i="4" s="1"/>
  <c r="C23" i="4" s="1" a="1"/>
  <c r="C23" i="4" s="1"/>
  <c r="C16" i="4" a="1"/>
  <c r="C16" i="4" s="1"/>
  <c r="B24" i="4" a="1"/>
  <c r="B24" i="4" s="1"/>
  <c r="B16" i="4" a="1"/>
  <c r="B16" i="4" s="1"/>
  <c r="B21" i="3" a="1"/>
  <c r="B21" i="3" s="1"/>
  <c r="B14" i="3" a="1"/>
  <c r="B14" i="3" s="1"/>
  <c r="C14" i="3" s="1" a="1"/>
  <c r="C14" i="3" s="1"/>
  <c r="C15" i="3" s="1" a="1"/>
  <c r="C15" i="3" s="1"/>
  <c r="C16" i="3" s="1" a="1"/>
  <c r="C16" i="3" s="1"/>
  <c r="C17" i="3" s="1" a="1"/>
  <c r="C17" i="3" s="1"/>
  <c r="C18" i="3" s="1" a="1"/>
  <c r="C18" i="3" s="1"/>
  <c r="C19" i="3" s="1" a="1"/>
  <c r="C19" i="3" s="1"/>
  <c r="C20" i="3" s="1" a="1"/>
  <c r="C20" i="3" s="1"/>
  <c r="F13" i="4"/>
  <c r="G13" i="4"/>
  <c r="H13" i="4"/>
  <c r="I13" i="4"/>
  <c r="J13" i="4"/>
  <c r="K13" i="4"/>
  <c r="L13" i="4"/>
  <c r="E13" i="4"/>
  <c r="E12" i="4" a="1"/>
  <c r="E12" i="4" s="1"/>
  <c r="L4" i="4"/>
  <c r="L5" i="4"/>
  <c r="L6" i="4"/>
  <c r="L7" i="4"/>
  <c r="L8" i="4"/>
  <c r="L9" i="4"/>
  <c r="L3" i="4"/>
  <c r="K4" i="4"/>
  <c r="K5" i="4"/>
  <c r="K6" i="4"/>
  <c r="K7" i="4"/>
  <c r="K8" i="4"/>
  <c r="K10" i="4"/>
  <c r="K3" i="4"/>
  <c r="J4" i="4"/>
  <c r="J5" i="4"/>
  <c r="J6" i="4"/>
  <c r="J7" i="4"/>
  <c r="J9" i="4"/>
  <c r="J10" i="4"/>
  <c r="J3" i="4"/>
  <c r="I4" i="4"/>
  <c r="I5" i="4"/>
  <c r="I6" i="4"/>
  <c r="I8" i="4"/>
  <c r="I9" i="4"/>
  <c r="I10" i="4"/>
  <c r="I3" i="4"/>
  <c r="H4" i="4"/>
  <c r="H5" i="4"/>
  <c r="H7" i="4"/>
  <c r="H8" i="4"/>
  <c r="H9" i="4"/>
  <c r="H10" i="4"/>
  <c r="H3" i="4"/>
  <c r="G4" i="4"/>
  <c r="G6" i="4"/>
  <c r="G7" i="4"/>
  <c r="G8" i="4"/>
  <c r="G9" i="4"/>
  <c r="G10" i="4"/>
  <c r="G3" i="4"/>
  <c r="F5" i="4"/>
  <c r="F6" i="4"/>
  <c r="F7" i="4"/>
  <c r="F8" i="4"/>
  <c r="F9" i="4"/>
  <c r="F10" i="4"/>
  <c r="F3" i="4"/>
  <c r="E5" i="4"/>
  <c r="E6" i="4"/>
  <c r="E7" i="4"/>
  <c r="E8" i="4"/>
  <c r="E9" i="4"/>
  <c r="E10" i="4"/>
  <c r="E4" i="4"/>
  <c r="C10" i="4"/>
  <c r="C9" i="4"/>
  <c r="C8" i="4"/>
  <c r="C7" i="4"/>
  <c r="C6" i="4"/>
  <c r="C5" i="4"/>
  <c r="C4" i="4"/>
  <c r="C3" i="4"/>
  <c r="H27" i="2"/>
  <c r="C4" i="3"/>
  <c r="C5" i="3"/>
  <c r="C6" i="3"/>
  <c r="C7" i="3"/>
  <c r="C8" i="3"/>
  <c r="C9" i="3"/>
  <c r="C3" i="3"/>
  <c r="D10" i="3" s="1" a="1"/>
  <c r="H18" i="2"/>
  <c r="G18" i="2"/>
  <c r="E18" i="2"/>
  <c r="E19" i="2"/>
  <c r="D9" i="2"/>
  <c r="I9" i="2"/>
  <c r="C21" i="1" a="1"/>
  <c r="C21" i="1"/>
  <c r="C20" i="1"/>
  <c r="E7" i="1"/>
  <c r="E8" i="1"/>
  <c r="F18" i="2"/>
  <c r="D7" i="2"/>
  <c r="E13" i="1"/>
  <c r="C19" i="1"/>
  <c r="D12" i="2" a="1"/>
  <c r="D12" i="2" s="1"/>
  <c r="D13" i="2" s="1" a="1"/>
  <c r="D13" i="2" s="1"/>
  <c r="D14" i="2" s="1" a="1"/>
  <c r="D14" i="2" s="1"/>
  <c r="D15" i="2" s="1" a="1"/>
  <c r="D15" i="2" s="1"/>
  <c r="D16" i="2" s="1" a="1"/>
  <c r="D16" i="2" s="1"/>
  <c r="D17" i="2" s="1" a="1"/>
  <c r="D17" i="2" s="1"/>
  <c r="E9" i="2"/>
  <c r="F9" i="2"/>
  <c r="G9" i="2"/>
  <c r="H9" i="2"/>
  <c r="I3" i="2"/>
  <c r="I4" i="2"/>
  <c r="I5" i="2"/>
  <c r="I6" i="2"/>
  <c r="I2" i="2"/>
  <c r="H3" i="2"/>
  <c r="H4" i="2"/>
  <c r="H5" i="2"/>
  <c r="H7" i="2"/>
  <c r="H2" i="2"/>
  <c r="G3" i="2"/>
  <c r="G4" i="2"/>
  <c r="G6" i="2"/>
  <c r="G7" i="2"/>
  <c r="G2" i="2"/>
  <c r="F3" i="2"/>
  <c r="F5" i="2"/>
  <c r="F6" i="2"/>
  <c r="F7" i="2"/>
  <c r="F2" i="2"/>
  <c r="E4" i="2"/>
  <c r="E5" i="2"/>
  <c r="E6" i="2"/>
  <c r="E7" i="2"/>
  <c r="E2" i="2"/>
  <c r="D3" i="2"/>
  <c r="D4" i="2"/>
  <c r="D5" i="2"/>
  <c r="D6" i="2"/>
  <c r="D19" i="1"/>
  <c r="F19" i="1"/>
  <c r="G19" i="1"/>
  <c r="D20" i="1"/>
  <c r="E20" i="1"/>
  <c r="E19" i="1" s="1"/>
  <c r="F20" i="1"/>
  <c r="G20" i="1"/>
  <c r="C14" i="1"/>
  <c r="G14" i="1"/>
  <c r="G15" i="1"/>
  <c r="G16" i="1"/>
  <c r="G13" i="1"/>
  <c r="F14" i="1"/>
  <c r="F15" i="1"/>
  <c r="F17" i="1"/>
  <c r="F13" i="1"/>
  <c r="E14" i="1"/>
  <c r="E16" i="1"/>
  <c r="E17" i="1"/>
  <c r="D15" i="1"/>
  <c r="D16" i="1"/>
  <c r="D17" i="1"/>
  <c r="D13" i="1"/>
  <c r="C15" i="1"/>
  <c r="C16" i="1"/>
  <c r="C17" i="1"/>
  <c r="C2" i="1" a="1"/>
  <c r="C2" i="1" s="1"/>
  <c r="C3" i="1" s="1" a="1"/>
  <c r="C3" i="1" s="1"/>
  <c r="C4" i="1" s="1" a="1"/>
  <c r="C4" i="1" s="1"/>
  <c r="C5" i="1" s="1" a="1"/>
  <c r="C5" i="1" s="1"/>
  <c r="C6" i="1" s="1" a="1"/>
  <c r="C6" i="1" s="1"/>
  <c r="C22" i="7" l="1" a="1"/>
  <c r="C22" i="7" s="1"/>
  <c r="B6" i="7"/>
  <c r="F6" i="7"/>
  <c r="F3" i="7"/>
  <c r="D5" i="7"/>
  <c r="F4" i="7"/>
  <c r="E5" i="7"/>
  <c r="F35" i="4"/>
  <c r="G35" i="4" s="1"/>
  <c r="H35" i="4" s="1"/>
  <c r="I35" i="4" s="1"/>
  <c r="J35" i="4" s="1"/>
  <c r="E36" i="4"/>
  <c r="C25" i="5"/>
  <c r="D25" i="5" s="1"/>
  <c r="E25" i="5" s="1"/>
  <c r="F25" i="5" s="1"/>
  <c r="G25" i="5" s="1"/>
  <c r="H25" i="5" s="1"/>
  <c r="I25" i="5" s="1"/>
  <c r="C26" i="5"/>
  <c r="D26" i="5" s="1"/>
  <c r="E26" i="5" s="1"/>
  <c r="F26" i="5" s="1"/>
  <c r="G26" i="5" s="1"/>
  <c r="H26" i="5" s="1"/>
  <c r="I26" i="5" s="1"/>
  <c r="C24" i="5"/>
  <c r="D24" i="5" s="1"/>
  <c r="E24" i="5" s="1"/>
  <c r="F24" i="5" s="1"/>
  <c r="G24" i="5" s="1"/>
  <c r="H24" i="5" s="1"/>
  <c r="I24" i="5" s="1"/>
  <c r="C23" i="5"/>
  <c r="D23" i="5" s="1"/>
  <c r="E23" i="5" s="1"/>
  <c r="F23" i="5" s="1"/>
  <c r="G23" i="5" s="1"/>
  <c r="H23" i="5" s="1"/>
  <c r="I23" i="5" s="1"/>
  <c r="C22" i="5"/>
  <c r="D22" i="5" s="1"/>
  <c r="E22" i="5" s="1"/>
  <c r="F22" i="5" s="1"/>
  <c r="G22" i="5" s="1"/>
  <c r="H22" i="5" s="1"/>
  <c r="I22" i="5" s="1"/>
  <c r="C21" i="5"/>
  <c r="F21" i="5" s="1"/>
  <c r="G21" i="5" s="1"/>
  <c r="H21" i="5" s="1"/>
  <c r="I21" i="5" s="1"/>
  <c r="D10" i="3"/>
  <c r="C30" i="3" s="1" a="1"/>
  <c r="C30" i="3" s="1"/>
  <c r="C25" i="3"/>
  <c r="D25" i="3" s="1"/>
  <c r="E25" i="3" s="1"/>
  <c r="F25" i="3" s="1"/>
  <c r="G25" i="3" s="1"/>
  <c r="H25" i="3" s="1"/>
  <c r="I25" i="3" s="1"/>
  <c r="J25" i="3" s="1"/>
  <c r="C24" i="3"/>
  <c r="D24" i="3" s="1"/>
  <c r="E24" i="3" s="1"/>
  <c r="F24" i="3" s="1"/>
  <c r="G24" i="3" s="1"/>
  <c r="H24" i="3" s="1"/>
  <c r="I24" i="3" s="1"/>
  <c r="J24" i="3" s="1"/>
  <c r="C26" i="3"/>
  <c r="D26" i="3" s="1"/>
  <c r="E26" i="3" s="1"/>
  <c r="F26" i="3" s="1"/>
  <c r="G26" i="3" s="1"/>
  <c r="H26" i="3" s="1"/>
  <c r="I26" i="3" s="1"/>
  <c r="J26" i="3" s="1"/>
  <c r="C27" i="3"/>
  <c r="D27" i="3" s="1"/>
  <c r="E27" i="3" s="1"/>
  <c r="F27" i="3" s="1"/>
  <c r="G27" i="3" s="1"/>
  <c r="H27" i="3" s="1"/>
  <c r="I27" i="3" s="1"/>
  <c r="J27" i="3" s="1"/>
  <c r="C22" i="3"/>
  <c r="D22" i="3" s="1"/>
  <c r="E22" i="3" s="1"/>
  <c r="F22" i="3" s="1"/>
  <c r="G22" i="3" s="1"/>
  <c r="H22" i="3" s="1"/>
  <c r="I22" i="3" s="1"/>
  <c r="J22" i="3" s="1"/>
  <c r="C23" i="3"/>
  <c r="D23" i="3" s="1"/>
  <c r="E23" i="3" s="1"/>
  <c r="F23" i="3" s="1"/>
  <c r="G23" i="3" s="1"/>
  <c r="H23" i="3" s="1"/>
  <c r="I23" i="3" s="1"/>
  <c r="J23" i="3" s="1"/>
  <c r="C21" i="3"/>
  <c r="C8" i="1"/>
  <c r="D8" i="1" s="1"/>
  <c r="F8" i="1" s="1"/>
  <c r="G8" i="1" s="1"/>
  <c r="H8" i="1" s="1"/>
  <c r="C9" i="1"/>
  <c r="D9" i="1" s="1"/>
  <c r="E9" i="1" s="1"/>
  <c r="F9" i="1" s="1"/>
  <c r="G9" i="1" s="1"/>
  <c r="H9" i="1" s="1"/>
  <c r="C10" i="1"/>
  <c r="D10" i="1" s="1"/>
  <c r="E10" i="1" s="1"/>
  <c r="F10" i="1" s="1"/>
  <c r="G10" i="1" s="1"/>
  <c r="H10" i="1" s="1"/>
  <c r="C11" i="1"/>
  <c r="D11" i="1" s="1"/>
  <c r="E11" i="1" s="1"/>
  <c r="F11" i="1" s="1"/>
  <c r="G11" i="1" s="1"/>
  <c r="H11" i="1" s="1"/>
  <c r="C7" i="1"/>
  <c r="D19" i="2"/>
  <c r="F19" i="2" s="1"/>
  <c r="G19" i="2" s="1"/>
  <c r="H19" i="2" s="1"/>
  <c r="I19" i="2" s="1"/>
  <c r="J19" i="2" s="1"/>
  <c r="D20" i="2"/>
  <c r="E20" i="2" s="1"/>
  <c r="F20" i="2" s="1"/>
  <c r="G20" i="2" s="1"/>
  <c r="H20" i="2" s="1"/>
  <c r="I20" i="2" s="1"/>
  <c r="J20" i="2" s="1"/>
  <c r="D21" i="2"/>
  <c r="E21" i="2" s="1"/>
  <c r="F21" i="2" s="1"/>
  <c r="G21" i="2" s="1"/>
  <c r="H21" i="2" s="1"/>
  <c r="I21" i="2" s="1"/>
  <c r="J21" i="2" s="1"/>
  <c r="D22" i="2"/>
  <c r="E22" i="2" s="1"/>
  <c r="F22" i="2" s="1"/>
  <c r="G22" i="2" s="1"/>
  <c r="H22" i="2" s="1"/>
  <c r="I22" i="2" s="1"/>
  <c r="J22" i="2" s="1"/>
  <c r="D23" i="2"/>
  <c r="E23" i="2" s="1"/>
  <c r="F23" i="2" s="1"/>
  <c r="G23" i="2" s="1"/>
  <c r="H23" i="2" s="1"/>
  <c r="I23" i="2" s="1"/>
  <c r="J23" i="2" s="1"/>
  <c r="D18" i="2"/>
  <c r="G5" i="7" l="1"/>
  <c r="D6" i="7"/>
  <c r="B7" i="7"/>
  <c r="G3" i="7"/>
  <c r="G7" i="7"/>
  <c r="G4" i="7"/>
  <c r="E6" i="7"/>
  <c r="C23" i="7" a="1"/>
  <c r="C23" i="7" s="1"/>
  <c r="F36" i="4"/>
  <c r="G36" i="4" s="1"/>
  <c r="H36" i="4" s="1"/>
  <c r="I36" i="4" s="1"/>
  <c r="K36" i="4" s="1"/>
  <c r="E37" i="4"/>
  <c r="F37" i="4" s="1"/>
  <c r="G37" i="4" s="1"/>
  <c r="H37" i="4" s="1"/>
  <c r="K37" i="4" s="1"/>
  <c r="D21" i="3"/>
  <c r="E21" i="3" s="1"/>
  <c r="F21" i="3" s="1"/>
  <c r="G21" i="3" s="1"/>
  <c r="H21" i="3" s="1"/>
  <c r="I21" i="3" s="1"/>
  <c r="J21" i="3" s="1"/>
  <c r="D7" i="1"/>
  <c r="I18" i="2"/>
  <c r="J18" i="2" s="1"/>
  <c r="C24" i="7" l="1" a="1"/>
  <c r="C24" i="7" s="1"/>
  <c r="H4" i="7"/>
  <c r="H5" i="7"/>
  <c r="D7" i="7"/>
  <c r="H6" i="7"/>
  <c r="H3" i="7"/>
  <c r="B8" i="7"/>
  <c r="E7" i="7"/>
  <c r="F7" i="7"/>
  <c r="C31" i="5"/>
  <c r="D31" i="5" s="1"/>
  <c r="E31" i="5" s="1"/>
  <c r="F31" i="5" s="1"/>
  <c r="G31" i="5" s="1"/>
  <c r="H31" i="5" s="1"/>
  <c r="C32" i="5"/>
  <c r="C32" i="3"/>
  <c r="D25" i="2" a="1"/>
  <c r="D25" i="2" s="1"/>
  <c r="F7" i="1"/>
  <c r="G7" i="1" s="1"/>
  <c r="H7" i="1" s="1"/>
  <c r="C22" i="1"/>
  <c r="D22" i="1" s="1"/>
  <c r="E22" i="1" s="1"/>
  <c r="F22" i="1"/>
  <c r="G22" i="1" s="1"/>
  <c r="D26" i="2"/>
  <c r="D27" i="2"/>
  <c r="E26" i="2"/>
  <c r="F26" i="2" s="1"/>
  <c r="G26" i="2" s="1"/>
  <c r="H26" i="2" s="1"/>
  <c r="I26" i="2" s="1"/>
  <c r="C25" i="7" l="1" a="1"/>
  <c r="C25" i="7" s="1"/>
  <c r="I5" i="7"/>
  <c r="I4" i="7"/>
  <c r="I6" i="7"/>
  <c r="D8" i="7"/>
  <c r="I3" i="7"/>
  <c r="I7" i="7"/>
  <c r="B9" i="7"/>
  <c r="E8" i="7"/>
  <c r="F8" i="7"/>
  <c r="G8" i="7"/>
  <c r="H8" i="7"/>
  <c r="C37" i="6"/>
  <c r="D32" i="5"/>
  <c r="E32" i="5" s="1"/>
  <c r="F32" i="5" s="1"/>
  <c r="G32" i="5" s="1"/>
  <c r="C31" i="3"/>
  <c r="D28" i="2"/>
  <c r="E27" i="2"/>
  <c r="F27" i="2" s="1"/>
  <c r="G27" i="2" s="1"/>
  <c r="D31" i="3" l="1"/>
  <c r="E31" i="3" s="1"/>
  <c r="F31" i="3" s="1"/>
  <c r="G31" i="3" s="1"/>
  <c r="H31" i="3" s="1"/>
  <c r="I31" i="3" s="1"/>
  <c r="J3" i="7"/>
  <c r="J7" i="7"/>
  <c r="B10" i="7"/>
  <c r="J4" i="7"/>
  <c r="J8" i="7"/>
  <c r="J5" i="7"/>
  <c r="D9" i="7"/>
  <c r="J6" i="7"/>
  <c r="E9" i="7"/>
  <c r="F9" i="7"/>
  <c r="G9" i="7"/>
  <c r="H9" i="7"/>
  <c r="I9" i="7"/>
  <c r="C26" i="7" a="1"/>
  <c r="C26" i="7" s="1"/>
  <c r="C35" i="6"/>
  <c r="D35" i="6" s="1"/>
  <c r="C36" i="6"/>
  <c r="E28" i="2"/>
  <c r="F28" i="2" s="1"/>
  <c r="G28" i="2" s="1"/>
  <c r="J28" i="2" s="1"/>
  <c r="D32" i="3" l="1"/>
  <c r="E32" i="3" s="1"/>
  <c r="F32" i="3" s="1"/>
  <c r="G32" i="3" s="1"/>
  <c r="H32" i="3" s="1"/>
  <c r="K11" i="7"/>
  <c r="K4" i="7"/>
  <c r="K8" i="7"/>
  <c r="K3" i="7"/>
  <c r="K7" i="7"/>
  <c r="D10" i="7"/>
  <c r="B11" i="7"/>
  <c r="K9" i="7"/>
  <c r="K6" i="7"/>
  <c r="K5" i="7"/>
  <c r="E10" i="7"/>
  <c r="F10" i="7"/>
  <c r="G10" i="7"/>
  <c r="H10" i="7"/>
  <c r="I10" i="7"/>
  <c r="J10" i="7"/>
  <c r="C27" i="7" a="1"/>
  <c r="C27" i="7" s="1"/>
  <c r="D36" i="6"/>
  <c r="E35" i="6"/>
  <c r="D37" i="6"/>
  <c r="C28" i="7" l="1" a="1"/>
  <c r="C28" i="7" s="1"/>
  <c r="L6" i="7"/>
  <c r="L10" i="7"/>
  <c r="L7" i="7"/>
  <c r="D11" i="7"/>
  <c r="L3" i="7"/>
  <c r="L15" i="7" s="1"/>
  <c r="L12" i="7"/>
  <c r="L8" i="7"/>
  <c r="B12" i="7"/>
  <c r="L5" i="7"/>
  <c r="L9" i="7"/>
  <c r="L4" i="7"/>
  <c r="E11" i="7"/>
  <c r="F11" i="7"/>
  <c r="G11" i="7"/>
  <c r="H11" i="7"/>
  <c r="I11" i="7"/>
  <c r="J11" i="7"/>
  <c r="F35" i="6"/>
  <c r="G35" i="6" s="1"/>
  <c r="H35" i="6" s="1"/>
  <c r="I35" i="6" s="1"/>
  <c r="J35" i="6" s="1"/>
  <c r="K35" i="6" s="1"/>
  <c r="E36" i="6"/>
  <c r="F36" i="6" s="1"/>
  <c r="G36" i="6" s="1"/>
  <c r="H36" i="6" s="1"/>
  <c r="I36" i="6" s="1"/>
  <c r="J36" i="6" s="1"/>
  <c r="K36" i="6" s="1"/>
  <c r="E37" i="6"/>
  <c r="F37" i="6" s="1"/>
  <c r="G37" i="6" s="1"/>
  <c r="H37" i="6" s="1"/>
  <c r="I37" i="6" s="1"/>
  <c r="K37" i="6" s="1"/>
  <c r="J15" i="7" l="1"/>
  <c r="E1" i="7"/>
  <c r="B45" i="7" s="1"/>
  <c r="M3" i="7"/>
  <c r="M7" i="7"/>
  <c r="M11" i="7"/>
  <c r="M6" i="7"/>
  <c r="M10" i="7"/>
  <c r="M4" i="7"/>
  <c r="M9" i="7"/>
  <c r="E12" i="7"/>
  <c r="E15" i="7" s="1"/>
  <c r="M8" i="7"/>
  <c r="D12" i="7"/>
  <c r="D15" i="7" s="1"/>
  <c r="M5" i="7"/>
  <c r="F12" i="7"/>
  <c r="F15" i="7" s="1"/>
  <c r="G12" i="7"/>
  <c r="G15" i="7" s="1"/>
  <c r="H12" i="7"/>
  <c r="H15" i="7" s="1"/>
  <c r="I12" i="7"/>
  <c r="I15" i="7" s="1"/>
  <c r="J12" i="7"/>
  <c r="K12" i="7"/>
  <c r="K15" i="7" s="1"/>
  <c r="C32" i="7"/>
  <c r="D32" i="7" s="1"/>
  <c r="E32" i="7" s="1"/>
  <c r="F32" i="7" s="1"/>
  <c r="G32" i="7" s="1"/>
  <c r="H32" i="7" s="1"/>
  <c r="I32" i="7" s="1"/>
  <c r="J32" i="7" s="1"/>
  <c r="K32" i="7" s="1"/>
  <c r="L32" i="7" s="1"/>
  <c r="M32" i="7" s="1"/>
  <c r="C34" i="7"/>
  <c r="D34" i="7" s="1"/>
  <c r="E34" i="7" s="1"/>
  <c r="F34" i="7" s="1"/>
  <c r="G34" i="7" s="1"/>
  <c r="H34" i="7" s="1"/>
  <c r="I34" i="7" s="1"/>
  <c r="J34" i="7" s="1"/>
  <c r="K34" i="7" s="1"/>
  <c r="L34" i="7" s="1"/>
  <c r="M34" i="7" s="1"/>
  <c r="C36" i="7"/>
  <c r="D36" i="7" s="1"/>
  <c r="E36" i="7" s="1"/>
  <c r="F36" i="7" s="1"/>
  <c r="G36" i="7" s="1"/>
  <c r="H36" i="7" s="1"/>
  <c r="I36" i="7" s="1"/>
  <c r="J36" i="7" s="1"/>
  <c r="K36" i="7" s="1"/>
  <c r="L36" i="7" s="1"/>
  <c r="M36" i="7" s="1"/>
  <c r="C35" i="7"/>
  <c r="D35" i="7" s="1"/>
  <c r="E35" i="7" s="1"/>
  <c r="F35" i="7" s="1"/>
  <c r="G35" i="7" s="1"/>
  <c r="H35" i="7" s="1"/>
  <c r="I35" i="7" s="1"/>
  <c r="J35" i="7" s="1"/>
  <c r="K35" i="7" s="1"/>
  <c r="L35" i="7" s="1"/>
  <c r="M35" i="7" s="1"/>
  <c r="C40" i="7"/>
  <c r="D40" i="7" s="1"/>
  <c r="E40" i="7" s="1"/>
  <c r="F40" i="7" s="1"/>
  <c r="G40" i="7" s="1"/>
  <c r="H40" i="7" s="1"/>
  <c r="I40" i="7" s="1"/>
  <c r="J40" i="7" s="1"/>
  <c r="K40" i="7" s="1"/>
  <c r="L40" i="7" s="1"/>
  <c r="M40" i="7" s="1"/>
  <c r="C39" i="7"/>
  <c r="D39" i="7" s="1"/>
  <c r="E39" i="7" s="1"/>
  <c r="F39" i="7" s="1"/>
  <c r="G39" i="7" s="1"/>
  <c r="H39" i="7" s="1"/>
  <c r="I39" i="7" s="1"/>
  <c r="J39" i="7" s="1"/>
  <c r="K39" i="7" s="1"/>
  <c r="L39" i="7" s="1"/>
  <c r="M39" i="7" s="1"/>
  <c r="C31" i="7"/>
  <c r="D31" i="7" s="1"/>
  <c r="E31" i="7" s="1"/>
  <c r="F31" i="7" s="1"/>
  <c r="G31" i="7" s="1"/>
  <c r="H31" i="7" s="1"/>
  <c r="I31" i="7" s="1"/>
  <c r="J31" i="7" s="1"/>
  <c r="K31" i="7" s="1"/>
  <c r="L31" i="7" s="1"/>
  <c r="M31" i="7" s="1"/>
  <c r="C33" i="7"/>
  <c r="D33" i="7" s="1"/>
  <c r="E33" i="7" s="1"/>
  <c r="F33" i="7" s="1"/>
  <c r="G33" i="7" s="1"/>
  <c r="H33" i="7" s="1"/>
  <c r="I33" i="7" s="1"/>
  <c r="J33" i="7" s="1"/>
  <c r="K33" i="7" s="1"/>
  <c r="L33" i="7" s="1"/>
  <c r="M33" i="7" s="1"/>
  <c r="C38" i="7"/>
  <c r="D38" i="7" s="1"/>
  <c r="E38" i="7" s="1"/>
  <c r="F38" i="7" s="1"/>
  <c r="G38" i="7" s="1"/>
  <c r="H38" i="7" s="1"/>
  <c r="I38" i="7" s="1"/>
  <c r="J38" i="7" s="1"/>
  <c r="K38" i="7" s="1"/>
  <c r="L38" i="7" s="1"/>
  <c r="M38" i="7" s="1"/>
  <c r="C37" i="7"/>
  <c r="D37" i="7" s="1"/>
  <c r="E37" i="7" s="1"/>
  <c r="F37" i="7" s="1"/>
  <c r="G37" i="7" s="1"/>
  <c r="H37" i="7" s="1"/>
  <c r="I37" i="7" s="1"/>
  <c r="J37" i="7" s="1"/>
  <c r="K37" i="7" s="1"/>
  <c r="L37" i="7" s="1"/>
  <c r="M37" i="7" s="1"/>
  <c r="M15" i="7" l="1"/>
  <c r="C44" i="7" s="1" a="1"/>
  <c r="C44" i="7" s="1"/>
  <c r="C45" i="7" s="1"/>
  <c r="D45" i="7" s="1"/>
  <c r="E45" i="7" s="1"/>
  <c r="F45" i="7" s="1"/>
  <c r="G45" i="7" s="1"/>
  <c r="H45" i="7" s="1"/>
  <c r="I45" i="7" s="1"/>
  <c r="J45" i="7" s="1"/>
  <c r="K45" i="7" s="1"/>
  <c r="L45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<sst xmlns="http://schemas.openxmlformats.org/spreadsheetml/2006/main" count="51" uniqueCount="23">
  <si>
    <t>x0-xj</t>
  </si>
  <si>
    <t>x1-xj</t>
  </si>
  <si>
    <t>x5-xj</t>
  </si>
  <si>
    <t>X</t>
  </si>
  <si>
    <t>Y</t>
  </si>
  <si>
    <t>X1-Xj</t>
  </si>
  <si>
    <t>X0-Xj</t>
  </si>
  <si>
    <t>X6-Xj</t>
  </si>
  <si>
    <t>Vecto Cy</t>
  </si>
  <si>
    <t>Đa Thức NS</t>
  </si>
  <si>
    <t>X2-Xj</t>
  </si>
  <si>
    <t>X8-Xj</t>
  </si>
  <si>
    <t>Bài 16 phiên bản làm theo phiên bản mốc không cách đều</t>
  </si>
  <si>
    <t>Đa thức nội suy</t>
  </si>
  <si>
    <t>Giá trị</t>
  </si>
  <si>
    <t>Đạo hàm cấp 1</t>
  </si>
  <si>
    <t>Đạo hàm cấp 2</t>
  </si>
  <si>
    <t>Giá trị tại</t>
  </si>
  <si>
    <t>X5-Xj</t>
  </si>
  <si>
    <t>Ma trận A</t>
  </si>
  <si>
    <t>X9-Xj</t>
  </si>
  <si>
    <t>Y__</t>
  </si>
  <si>
    <t>ĐTNS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</si>
</sst>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0" xfId="0" applyFont="1" applyFill="1"/>
    <xf numFmtId="0" fontId="3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5" fillId="0" borderId="0" xfId="0" applyFont="1"/>
    <xf numFmtId="0" fontId="0" fillId="2" borderId="0" xfId="0" applyFill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D549-DE15-4EEE-AD8A-C0E02CBA5250}">
  <dimension ref="A1:M45"/>
  <sheetViews>
    <sheetView tabSelected="1" topLeftCell="A31" workbookViewId="0">
      <selection activeCell="O43" sqref="O43"/>
    </sheetView>
  </sheetViews>
  <sheetFormatPr defaultRowHeight="14.5" x14ac:dyDescent="0.35"/>
  <cols>
    <col min="3" max="3" width="10.81640625" bestFit="1" customWidth="1"/>
    <col min="4" max="4" width="12.453125" bestFit="1" customWidth="1"/>
    <col min="5" max="5" width="11.81640625" bestFit="1" customWidth="1"/>
  </cols>
  <sheetData>
    <row r="1" spans="2:13" x14ac:dyDescent="0.35">
      <c r="D1" t="s">
        <v>21</v>
      </c>
      <c r="E1">
        <f>B12-6.5/0.9</f>
        <v>25.213777777777779</v>
      </c>
    </row>
    <row r="2" spans="2:13" x14ac:dyDescent="0.35">
      <c r="D2" t="s">
        <v>6</v>
      </c>
      <c r="E2" t="s">
        <v>5</v>
      </c>
      <c r="M2" t="s">
        <v>20</v>
      </c>
    </row>
    <row r="3" spans="2:13" x14ac:dyDescent="0.35">
      <c r="B3">
        <v>1.224</v>
      </c>
      <c r="C3">
        <v>3</v>
      </c>
      <c r="D3">
        <v>1</v>
      </c>
      <c r="E3">
        <f>$B$4-B3</f>
        <v>2.04</v>
      </c>
      <c r="F3">
        <f>$B$5-B3</f>
        <v>5.6020000000000003</v>
      </c>
      <c r="G3">
        <f>$B$6-B3</f>
        <v>10.186</v>
      </c>
      <c r="H3">
        <f>$B$7-B3</f>
        <v>15.488</v>
      </c>
      <c r="I3">
        <f>$B$8-B3</f>
        <v>19.757999999999999</v>
      </c>
      <c r="J3">
        <f>$B$9-B3</f>
        <v>23.919999999999998</v>
      </c>
      <c r="K3">
        <f>$B$10-B3</f>
        <v>27.581</v>
      </c>
      <c r="L3">
        <f>$B$11-B3</f>
        <v>30.396999999999998</v>
      </c>
      <c r="M3">
        <f>$B$12-B3</f>
        <v>31.212</v>
      </c>
    </row>
    <row r="4" spans="2:13" x14ac:dyDescent="0.35">
      <c r="B4">
        <f>B3+2.04</f>
        <v>3.2640000000000002</v>
      </c>
      <c r="C4">
        <v>6</v>
      </c>
      <c r="D4">
        <f>$B$3-B4</f>
        <v>-2.04</v>
      </c>
      <c r="E4">
        <v>1</v>
      </c>
      <c r="F4">
        <f>$B$5-B4</f>
        <v>3.5620000000000003</v>
      </c>
      <c r="G4">
        <f>$B$6-B4</f>
        <v>8.1460000000000008</v>
      </c>
      <c r="H4">
        <f>$B$7-B4</f>
        <v>13.448</v>
      </c>
      <c r="I4">
        <f>$B$8-B4</f>
        <v>17.718</v>
      </c>
      <c r="J4">
        <f>$B$9-B4</f>
        <v>21.88</v>
      </c>
      <c r="K4">
        <f>$B$10-B4</f>
        <v>25.541</v>
      </c>
      <c r="L4">
        <f>$B$11-B4</f>
        <v>28.356999999999999</v>
      </c>
      <c r="M4">
        <f>$B$12-B4</f>
        <v>29.172000000000001</v>
      </c>
    </row>
    <row r="5" spans="2:13" x14ac:dyDescent="0.35">
      <c r="B5">
        <f>B4+3.562</f>
        <v>6.8260000000000005</v>
      </c>
      <c r="C5">
        <v>9</v>
      </c>
      <c r="D5">
        <f>$B$3-B5</f>
        <v>-5.6020000000000003</v>
      </c>
      <c r="E5">
        <f>$B$4-B5</f>
        <v>-3.5620000000000003</v>
      </c>
      <c r="F5">
        <v>1</v>
      </c>
      <c r="G5">
        <f>$B$6-B5</f>
        <v>4.5839999999999996</v>
      </c>
      <c r="H5">
        <f>$B$7-B5</f>
        <v>9.8859999999999992</v>
      </c>
      <c r="I5">
        <f>$B$8-B5</f>
        <v>14.155999999999999</v>
      </c>
      <c r="J5">
        <f>$B$9-B5</f>
        <v>18.317999999999998</v>
      </c>
      <c r="K5">
        <f>$B$10-B5</f>
        <v>21.978999999999999</v>
      </c>
      <c r="L5">
        <f>$B$11-B5</f>
        <v>24.794999999999998</v>
      </c>
      <c r="M5">
        <f>$B$12-B5</f>
        <v>25.61</v>
      </c>
    </row>
    <row r="6" spans="2:13" x14ac:dyDescent="0.35">
      <c r="B6">
        <f>B5+4.584</f>
        <v>11.41</v>
      </c>
      <c r="C6">
        <v>12</v>
      </c>
      <c r="D6">
        <f>$B$3-B6</f>
        <v>-10.186</v>
      </c>
      <c r="E6">
        <f>$B$4-B6</f>
        <v>-8.1460000000000008</v>
      </c>
      <c r="F6">
        <f>$B$5-B6</f>
        <v>-4.5839999999999996</v>
      </c>
      <c r="G6">
        <v>1</v>
      </c>
      <c r="H6">
        <f>$B$7-B6</f>
        <v>5.3019999999999996</v>
      </c>
      <c r="I6">
        <f>$B$8-B6</f>
        <v>9.5719999999999992</v>
      </c>
      <c r="J6">
        <f>$B$9-B6</f>
        <v>13.733999999999998</v>
      </c>
      <c r="K6">
        <f>$B$10-B6</f>
        <v>17.395</v>
      </c>
      <c r="L6">
        <f>$B$11-B6</f>
        <v>20.210999999999999</v>
      </c>
      <c r="M6">
        <f>$B$12-B6</f>
        <v>21.026</v>
      </c>
    </row>
    <row r="7" spans="2:13" x14ac:dyDescent="0.35">
      <c r="B7">
        <f>B6+5.302</f>
        <v>16.712</v>
      </c>
      <c r="C7">
        <v>15</v>
      </c>
      <c r="D7">
        <f>$B$3-B7</f>
        <v>-15.488</v>
      </c>
      <c r="E7">
        <f>$B$4-B7</f>
        <v>-13.448</v>
      </c>
      <c r="F7">
        <f>$B$5-B7</f>
        <v>-9.8859999999999992</v>
      </c>
      <c r="G7">
        <f>$B$6-B7</f>
        <v>-5.3019999999999996</v>
      </c>
      <c r="H7">
        <v>1</v>
      </c>
      <c r="I7">
        <f>$B$8-B7</f>
        <v>4.2699999999999996</v>
      </c>
      <c r="J7">
        <f>$B$9-B7</f>
        <v>8.4319999999999986</v>
      </c>
      <c r="K7">
        <f>$B$10-B7</f>
        <v>12.093</v>
      </c>
      <c r="L7">
        <f>$B$11-B7</f>
        <v>14.908999999999999</v>
      </c>
      <c r="M7">
        <f>$B$12-B7</f>
        <v>15.724</v>
      </c>
    </row>
    <row r="8" spans="2:13" x14ac:dyDescent="0.35">
      <c r="B8">
        <f>B7+4.27</f>
        <v>20.981999999999999</v>
      </c>
      <c r="C8">
        <v>18</v>
      </c>
      <c r="D8">
        <f>$B$3-B8</f>
        <v>-19.757999999999999</v>
      </c>
      <c r="E8">
        <f>$B$4-B8</f>
        <v>-17.718</v>
      </c>
      <c r="F8">
        <f>$B$5-B8</f>
        <v>-14.155999999999999</v>
      </c>
      <c r="G8">
        <f>$B$6-B8</f>
        <v>-9.5719999999999992</v>
      </c>
      <c r="H8">
        <f>$B$7-B8</f>
        <v>-4.2699999999999996</v>
      </c>
      <c r="I8">
        <v>1</v>
      </c>
      <c r="J8">
        <f>$B$9-B8</f>
        <v>4.161999999999999</v>
      </c>
      <c r="K8">
        <f>$B$10-B8</f>
        <v>7.8230000000000004</v>
      </c>
      <c r="L8">
        <f>$B$11-B8</f>
        <v>10.638999999999999</v>
      </c>
      <c r="M8">
        <f>$B$12-B8</f>
        <v>11.454000000000001</v>
      </c>
    </row>
    <row r="9" spans="2:13" x14ac:dyDescent="0.35">
      <c r="B9">
        <f>B8+4.162</f>
        <v>25.143999999999998</v>
      </c>
      <c r="C9">
        <v>21</v>
      </c>
      <c r="D9">
        <f>$B$3-B9</f>
        <v>-23.919999999999998</v>
      </c>
      <c r="E9">
        <f>$B$4-B9</f>
        <v>-21.88</v>
      </c>
      <c r="F9">
        <f>$B$5-B9</f>
        <v>-18.317999999999998</v>
      </c>
      <c r="G9">
        <f>$B$6-B9</f>
        <v>-13.733999999999998</v>
      </c>
      <c r="H9">
        <f>$B$7-B9</f>
        <v>-8.4319999999999986</v>
      </c>
      <c r="I9">
        <f>$B$8-B9</f>
        <v>-4.161999999999999</v>
      </c>
      <c r="J9">
        <v>1</v>
      </c>
      <c r="K9">
        <f>$B$10-B9</f>
        <v>3.6610000000000014</v>
      </c>
      <c r="L9">
        <f>$B$11-B9</f>
        <v>6.4770000000000003</v>
      </c>
      <c r="M9">
        <f>$B$12-B9</f>
        <v>7.2920000000000016</v>
      </c>
    </row>
    <row r="10" spans="2:13" x14ac:dyDescent="0.35">
      <c r="B10">
        <f>B9+3.661</f>
        <v>28.805</v>
      </c>
      <c r="C10">
        <v>24</v>
      </c>
      <c r="D10">
        <f>$B$3-B10</f>
        <v>-27.581</v>
      </c>
      <c r="E10">
        <f>$B$4-B10</f>
        <v>-25.541</v>
      </c>
      <c r="F10">
        <f>$B$5-B10</f>
        <v>-21.978999999999999</v>
      </c>
      <c r="G10">
        <f>$B$6-B10</f>
        <v>-17.395</v>
      </c>
      <c r="H10">
        <f>$B$7-B10</f>
        <v>-12.093</v>
      </c>
      <c r="I10">
        <f>$B$8-B10</f>
        <v>-7.8230000000000004</v>
      </c>
      <c r="J10">
        <f>$B$9-B10</f>
        <v>-3.6610000000000014</v>
      </c>
      <c r="K10">
        <v>1</v>
      </c>
      <c r="L10">
        <f>$B$11-B10</f>
        <v>2.8159999999999989</v>
      </c>
      <c r="M10">
        <f>$B$12-B10</f>
        <v>3.6310000000000002</v>
      </c>
    </row>
    <row r="11" spans="2:13" x14ac:dyDescent="0.35">
      <c r="B11">
        <f>2.816+B10</f>
        <v>31.620999999999999</v>
      </c>
      <c r="C11">
        <v>27</v>
      </c>
      <c r="D11">
        <f>$B$3-B11</f>
        <v>-30.396999999999998</v>
      </c>
      <c r="E11">
        <f>$B$4-B11</f>
        <v>-28.356999999999999</v>
      </c>
      <c r="F11">
        <f>$B$5-B11</f>
        <v>-24.794999999999998</v>
      </c>
      <c r="G11">
        <f>$B$6-B11</f>
        <v>-20.210999999999999</v>
      </c>
      <c r="H11">
        <f>$B$7-B11</f>
        <v>-14.908999999999999</v>
      </c>
      <c r="I11">
        <f>$B$8-B11</f>
        <v>-10.638999999999999</v>
      </c>
      <c r="J11">
        <f>$B$9-B11</f>
        <v>-6.4770000000000003</v>
      </c>
      <c r="K11">
        <f>$B$10-B11</f>
        <v>-2.8159999999999989</v>
      </c>
      <c r="L11">
        <v>1</v>
      </c>
      <c r="M11">
        <f>$B$12-B11</f>
        <v>0.81500000000000128</v>
      </c>
    </row>
    <row r="12" spans="2:13" x14ac:dyDescent="0.35">
      <c r="B12">
        <f>B11+0.815</f>
        <v>32.436</v>
      </c>
      <c r="C12">
        <v>30</v>
      </c>
      <c r="D12">
        <f>$B$3-B12</f>
        <v>-31.212</v>
      </c>
      <c r="E12">
        <f>$B$4-B12</f>
        <v>-29.172000000000001</v>
      </c>
      <c r="F12">
        <f>$B$5-B12</f>
        <v>-25.61</v>
      </c>
      <c r="G12">
        <f>$B$6-B12</f>
        <v>-21.026</v>
      </c>
      <c r="H12">
        <f>$B$7-B12</f>
        <v>-15.724</v>
      </c>
      <c r="I12">
        <f>$B$8-B12</f>
        <v>-11.454000000000001</v>
      </c>
      <c r="J12">
        <f>$B$9-B12</f>
        <v>-7.2920000000000016</v>
      </c>
      <c r="K12">
        <f>$B$10-B12</f>
        <v>-3.6310000000000002</v>
      </c>
      <c r="L12">
        <f>$B$11-B12</f>
        <v>-0.81500000000000128</v>
      </c>
      <c r="M12">
        <v>1</v>
      </c>
    </row>
    <row r="14" spans="2:13" x14ac:dyDescent="0.35">
      <c r="D14" cm="1">
        <f t="array" ref="D14:M14">TRANSPOSE(C3:C12)</f>
        <v>3</v>
      </c>
      <c r="E14">
        <v>6</v>
      </c>
      <c r="F14">
        <v>9</v>
      </c>
      <c r="G14">
        <v>12</v>
      </c>
      <c r="H14">
        <v>15</v>
      </c>
      <c r="I14">
        <v>18</v>
      </c>
      <c r="J14">
        <v>21</v>
      </c>
      <c r="K14">
        <v>24</v>
      </c>
      <c r="L14">
        <v>27</v>
      </c>
      <c r="M14">
        <v>30</v>
      </c>
    </row>
    <row r="15" spans="2:13" x14ac:dyDescent="0.35">
      <c r="B15" t="s">
        <v>8</v>
      </c>
      <c r="D15" s="1">
        <f>D14/PRODUCT(D3:D12)</f>
        <v>-1.3454962279981158E-10</v>
      </c>
      <c r="E15" s="1">
        <f>E14/PRODUCT(E3:E12)</f>
        <v>9.2023481857155886E-10</v>
      </c>
      <c r="F15" s="1">
        <f>F14/PRODUCT(F3:F12)</f>
        <v>-2.7500465550062263E-9</v>
      </c>
      <c r="G15" s="1">
        <f>G14/PRODUCT(G3:G12)</f>
        <v>6.1232248567425313E-9</v>
      </c>
      <c r="H15" s="1">
        <f>H14/PRODUCT(H3:H12)</f>
        <v>-1.3460891183680794E-8</v>
      </c>
      <c r="I15" s="1">
        <f>I14/PRODUCT(I3:I12)</f>
        <v>2.2398055370607584E-8</v>
      </c>
      <c r="J15" s="1">
        <f>J14/PRODUCT(J3:J12)</f>
        <v>-2.6283472614018031E-8</v>
      </c>
      <c r="K15" s="1">
        <f>K14/PRODUCT(K3:K12)</f>
        <v>2.5163147473313768E-8</v>
      </c>
      <c r="L15" s="1">
        <f>L14/PRODUCT(L3:L12)</f>
        <v>-2.6509855645977098E-8</v>
      </c>
      <c r="M15" s="1">
        <f>M14/PRODUCT(M3:M12)</f>
        <v>1.5744050766900674E-8</v>
      </c>
    </row>
    <row r="18" spans="2:13" x14ac:dyDescent="0.35"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</row>
    <row r="19" spans="2:13" x14ac:dyDescent="0.35">
      <c r="B19" cm="1">
        <f t="array" ref="B19:B28">B3:B12</f>
        <v>1.224</v>
      </c>
      <c r="C19" cm="1">
        <f t="array" ref="C19:M19">D18:N18-B19*C18:M18</f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-1.224</v>
      </c>
    </row>
    <row r="20" spans="2:13" x14ac:dyDescent="0.35">
      <c r="B20">
        <v>3.2640000000000002</v>
      </c>
      <c r="C20" cm="1">
        <f t="array" ref="C20:M20">D19:N19-B20*C19:M19</f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-4.4880000000000004</v>
      </c>
      <c r="M20">
        <v>3.995136</v>
      </c>
    </row>
    <row r="21" spans="2:13" x14ac:dyDescent="0.35">
      <c r="B21">
        <v>6.8260000000000005</v>
      </c>
      <c r="C21" cm="1">
        <f t="array" ref="C21:M21">D20:N20-B21*C20:M20</f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-11.314</v>
      </c>
      <c r="L21">
        <v>34.630224000000005</v>
      </c>
      <c r="M21">
        <v>-27.270798336000002</v>
      </c>
    </row>
    <row r="22" spans="2:13" x14ac:dyDescent="0.35">
      <c r="B22">
        <v>11.41</v>
      </c>
      <c r="C22" cm="1">
        <f t="array" ref="C22:M22">D21:N21-B22*C21:M21</f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-22.724</v>
      </c>
      <c r="K22">
        <v>163.72296399999999</v>
      </c>
      <c r="L22">
        <v>-422.40165417600008</v>
      </c>
      <c r="M22">
        <v>311.15980901376003</v>
      </c>
    </row>
    <row r="23" spans="2:13" x14ac:dyDescent="0.35">
      <c r="B23">
        <v>16.712</v>
      </c>
      <c r="C23" cm="1">
        <f t="array" ref="C23:M23">D22:N22-B23*C22:M22</f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-39.436</v>
      </c>
      <c r="J23">
        <v>543.48645199999999</v>
      </c>
      <c r="K23">
        <v>-3158.5398285440001</v>
      </c>
      <c r="L23">
        <v>7370.3362536030736</v>
      </c>
      <c r="M23">
        <v>-5200.1027282379573</v>
      </c>
    </row>
    <row r="24" spans="2:13" x14ac:dyDescent="0.35">
      <c r="B24">
        <v>20.981999999999999</v>
      </c>
      <c r="C24" cm="1">
        <f t="array" ref="C24:M24">D23:N23-B24*C23:M23</f>
        <v>0</v>
      </c>
      <c r="D24">
        <v>0</v>
      </c>
      <c r="E24">
        <v>0</v>
      </c>
      <c r="F24">
        <v>0</v>
      </c>
      <c r="G24">
        <v>1</v>
      </c>
      <c r="H24">
        <v>-60.417999999999999</v>
      </c>
      <c r="I24">
        <v>1370.9326040000001</v>
      </c>
      <c r="J24">
        <v>-14561.972564407999</v>
      </c>
      <c r="K24">
        <v>73642.818936113283</v>
      </c>
      <c r="L24">
        <v>-159844.49800133763</v>
      </c>
      <c r="M24">
        <v>109108.55544388882</v>
      </c>
    </row>
    <row r="25" spans="2:13" x14ac:dyDescent="0.35">
      <c r="B25">
        <v>25.143999999999998</v>
      </c>
      <c r="C25" cm="1">
        <f t="array" ref="C25:M25">D24:N24-B25*C24:M24</f>
        <v>0</v>
      </c>
      <c r="D25">
        <v>0</v>
      </c>
      <c r="E25">
        <v>0</v>
      </c>
      <c r="F25">
        <v>1</v>
      </c>
      <c r="G25">
        <v>-85.561999999999998</v>
      </c>
      <c r="H25">
        <v>2890.0827959999997</v>
      </c>
      <c r="I25">
        <v>-49032.701959383994</v>
      </c>
      <c r="J25">
        <v>439789.05709558795</v>
      </c>
      <c r="K25">
        <v>-2011519.5373309697</v>
      </c>
      <c r="L25">
        <v>4128238.6131895222</v>
      </c>
      <c r="M25">
        <v>-2743425.5180811402</v>
      </c>
    </row>
    <row r="26" spans="2:13" x14ac:dyDescent="0.35">
      <c r="B26">
        <v>28.805</v>
      </c>
      <c r="C26" cm="1">
        <f t="array" ref="C26:M26">D25:N25-B26*C25:M25</f>
        <v>0</v>
      </c>
      <c r="D26">
        <v>0</v>
      </c>
      <c r="E26">
        <v>1</v>
      </c>
      <c r="F26">
        <v>-114.36699999999999</v>
      </c>
      <c r="G26">
        <v>5354.6962059999996</v>
      </c>
      <c r="H26">
        <v>-132281.53689816399</v>
      </c>
      <c r="I26">
        <v>1852176.0370356438</v>
      </c>
      <c r="J26">
        <v>-14679643.326969381</v>
      </c>
      <c r="K26">
        <v>62070058.886008099</v>
      </c>
      <c r="L26">
        <v>-121657338.77100533</v>
      </c>
      <c r="M26">
        <v>79024372.048327237</v>
      </c>
    </row>
    <row r="27" spans="2:13" x14ac:dyDescent="0.35">
      <c r="B27">
        <v>31.620999999999999</v>
      </c>
      <c r="C27" cm="1">
        <f t="array" ref="C27:M27">D26:N26-B27*C26:M26</f>
        <v>0</v>
      </c>
      <c r="D27">
        <v>1</v>
      </c>
      <c r="E27">
        <v>-145.988</v>
      </c>
      <c r="F27">
        <v>8971.0951129999994</v>
      </c>
      <c r="G27">
        <v>-301602.38562809001</v>
      </c>
      <c r="H27">
        <v>6035050.5152924871</v>
      </c>
      <c r="I27">
        <v>-73247301.794073477</v>
      </c>
      <c r="J27">
        <v>526255060.52810687</v>
      </c>
      <c r="K27">
        <v>-2084374670.8054674</v>
      </c>
      <c r="L27">
        <v>3925951081.3262868</v>
      </c>
      <c r="M27">
        <v>-2498829668.5401554</v>
      </c>
    </row>
    <row r="28" spans="2:13" x14ac:dyDescent="0.35">
      <c r="B28">
        <v>32.436</v>
      </c>
      <c r="C28" s="1" cm="1">
        <f t="array" ref="C28:M28">D27:N27-B28*C27:M27</f>
        <v>1</v>
      </c>
      <c r="D28" s="1">
        <v>-178.42400000000001</v>
      </c>
      <c r="E28" s="1">
        <v>13706.361881000001</v>
      </c>
      <c r="F28" s="1">
        <v>-592588.82671335805</v>
      </c>
      <c r="G28" s="1">
        <v>15817825.495525215</v>
      </c>
      <c r="H28" s="1">
        <v>-269000200.30810058</v>
      </c>
      <c r="I28" s="1">
        <v>2902104541.5206742</v>
      </c>
      <c r="J28" s="1">
        <v>-19153983814.095142</v>
      </c>
      <c r="K28" s="1">
        <v>71534727903.572433</v>
      </c>
      <c r="L28" s="1">
        <v>-129840978942.43961</v>
      </c>
      <c r="M28" s="1">
        <v>81052039128.768478</v>
      </c>
    </row>
    <row r="31" spans="2:13" x14ac:dyDescent="0.35">
      <c r="B31" cm="1">
        <f t="array" ref="B31:B40">_xlfn.ANCHORARRAY(B19)</f>
        <v>1.224</v>
      </c>
      <c r="C31" s="24">
        <f>C28</f>
        <v>1</v>
      </c>
      <c r="D31" s="23">
        <f>$B$31*C31+D28</f>
        <v>-177.20000000000002</v>
      </c>
      <c r="E31" s="23">
        <f>$B$31*D31+E28</f>
        <v>13489.469081000001</v>
      </c>
      <c r="F31" s="23">
        <f>$B$31*E31+F28</f>
        <v>-576077.71655821404</v>
      </c>
      <c r="G31" s="23">
        <f>$B$31*F31+G28</f>
        <v>15112706.37045796</v>
      </c>
      <c r="H31" s="23">
        <f>$B$31*G31+H28</f>
        <v>-250502247.71066004</v>
      </c>
      <c r="I31" s="23">
        <f>$B$31*H31+I28</f>
        <v>2595489790.3228264</v>
      </c>
      <c r="J31" s="23">
        <f>$B$31*I31+J28</f>
        <v>-15977104310.740004</v>
      </c>
      <c r="K31" s="23">
        <f>$B$31*J31+K28</f>
        <v>51978752227.226669</v>
      </c>
      <c r="L31" s="22">
        <f>$B$31*K31+L28</f>
        <v>-66218986216.314163</v>
      </c>
      <c r="M31">
        <f>$B$31*L31+M28</f>
        <v>0</v>
      </c>
    </row>
    <row r="32" spans="2:13" x14ac:dyDescent="0.35">
      <c r="B32">
        <v>3.2640000000000002</v>
      </c>
      <c r="C32" s="21">
        <f>C28</f>
        <v>1</v>
      </c>
      <c r="D32">
        <f>$B$32*C32+D28</f>
        <v>-175.16</v>
      </c>
      <c r="E32">
        <f>$B$32*D32+E28</f>
        <v>13134.639641000002</v>
      </c>
      <c r="F32">
        <f>$B$32*E32+F28</f>
        <v>-549717.36292513402</v>
      </c>
      <c r="G32">
        <f>$B$32*F32+G28</f>
        <v>14023548.022937577</v>
      </c>
      <c r="H32">
        <f>$B$32*G32+H28</f>
        <v>-223227339.56123233</v>
      </c>
      <c r="I32">
        <f>$B$32*H32+I28</f>
        <v>2173490505.192812</v>
      </c>
      <c r="J32">
        <f>$B$32*I32+J28</f>
        <v>-12059710805.145803</v>
      </c>
      <c r="K32">
        <f>$B$32*J32+K28</f>
        <v>32171831835.57653</v>
      </c>
      <c r="L32" s="20">
        <f>$B$32*K32+L28</f>
        <v>-24832119831.117798</v>
      </c>
      <c r="M32">
        <f>$B$32*L32+M28</f>
        <v>0</v>
      </c>
    </row>
    <row r="33" spans="1:13" x14ac:dyDescent="0.35">
      <c r="B33">
        <v>6.8260000000000005</v>
      </c>
      <c r="C33" s="21">
        <f>C28</f>
        <v>1</v>
      </c>
      <c r="D33">
        <f>$B$33*C33+D28</f>
        <v>-171.59800000000001</v>
      </c>
      <c r="E33">
        <f>$B$33*D33+E28</f>
        <v>12535.033933000001</v>
      </c>
      <c r="F33">
        <f>$B$33*E33+F28</f>
        <v>-507024.68508670002</v>
      </c>
      <c r="G33">
        <f>$B$33*F33+G28</f>
        <v>12356874.995123401</v>
      </c>
      <c r="H33">
        <f>$B$33*G33+H28</f>
        <v>-184652171.59138823</v>
      </c>
      <c r="I33">
        <f>$B$33*H33+I28</f>
        <v>1641668818.2378581</v>
      </c>
      <c r="J33">
        <f>$B$33*I33+J28</f>
        <v>-7947952460.8035221</v>
      </c>
      <c r="K33">
        <f>$B$33*J33+K28</f>
        <v>17282004406.127586</v>
      </c>
      <c r="L33" s="20">
        <f>$B$33*K33+L28</f>
        <v>-11874016866.212692</v>
      </c>
      <c r="M33">
        <f>$B$33*L33+M28</f>
        <v>6.40869140625E-4</v>
      </c>
    </row>
    <row r="34" spans="1:13" x14ac:dyDescent="0.35">
      <c r="B34">
        <v>11.41</v>
      </c>
      <c r="C34" s="21">
        <f>C28</f>
        <v>1</v>
      </c>
      <c r="D34">
        <f>$B$34*C34+D28</f>
        <v>-167.01400000000001</v>
      </c>
      <c r="E34">
        <f>$B$34*D34+E28</f>
        <v>11800.732141</v>
      </c>
      <c r="F34">
        <f>$B$34*E34+F28</f>
        <v>-457942.47298454808</v>
      </c>
      <c r="G34">
        <f>$B$34*F34+G28</f>
        <v>10592701.878771521</v>
      </c>
      <c r="H34">
        <f>$B$34*G34+H28</f>
        <v>-148137471.87131751</v>
      </c>
      <c r="I34">
        <f>$B$34*H34+I28</f>
        <v>1211855987.4689415</v>
      </c>
      <c r="J34">
        <f>$B$34*I34+J28</f>
        <v>-5326706997.0745201</v>
      </c>
      <c r="K34">
        <f>$B$34*J34+K28</f>
        <v>10757001066.952156</v>
      </c>
      <c r="L34" s="20">
        <f>$B$34*K34+L28</f>
        <v>-7103596768.5155029</v>
      </c>
      <c r="M34">
        <f>$B$34*L34+M28</f>
        <v>6.591796875E-3</v>
      </c>
    </row>
    <row r="35" spans="1:13" x14ac:dyDescent="0.35">
      <c r="B35">
        <v>16.712</v>
      </c>
      <c r="C35" s="21">
        <f>C28</f>
        <v>1</v>
      </c>
      <c r="D35">
        <f>$B$35*C35+D28</f>
        <v>-161.71200000000002</v>
      </c>
      <c r="E35">
        <f>$B$35*D35+E28</f>
        <v>11003.830937000001</v>
      </c>
      <c r="F35">
        <f>$B$35*E35+F28</f>
        <v>-408692.80409421405</v>
      </c>
      <c r="G35">
        <f>$B$35*F35+G28</f>
        <v>8987751.3535027094</v>
      </c>
      <c r="H35">
        <f>$B$35*G35+H28</f>
        <v>-118796899.68836331</v>
      </c>
      <c r="I35">
        <f>$B$35*H35+I28</f>
        <v>916770753.92874646</v>
      </c>
      <c r="J35">
        <f>$B$35*I35+J28</f>
        <v>-3832910974.4379311</v>
      </c>
      <c r="K35">
        <f>$B$35*J35+K28</f>
        <v>7479119698.7657318</v>
      </c>
      <c r="L35" s="20">
        <f>$B$35*K35+L28</f>
        <v>-4849930536.6667023</v>
      </c>
      <c r="M35">
        <f>$B$35*L35+M28</f>
        <v>-5.4473876953125E-3</v>
      </c>
    </row>
    <row r="36" spans="1:13" x14ac:dyDescent="0.35">
      <c r="B36">
        <v>20.981999999999999</v>
      </c>
      <c r="C36" s="21">
        <f>C28</f>
        <v>1</v>
      </c>
      <c r="D36">
        <f>$B$36*C36+D28</f>
        <v>-157.44200000000001</v>
      </c>
      <c r="E36">
        <f>$B$36*D36+E28</f>
        <v>10402.913837</v>
      </c>
      <c r="F36">
        <f>$B$36*E36+F28</f>
        <v>-374314.88858542405</v>
      </c>
      <c r="G36">
        <f>$B$36*F36+G28</f>
        <v>7963950.5032258481</v>
      </c>
      <c r="H36">
        <f>$B$36*G36+H28</f>
        <v>-101900590.84941584</v>
      </c>
      <c r="I36">
        <f>$B$36*H36+I28</f>
        <v>764026344.31823111</v>
      </c>
      <c r="J36">
        <f>$B$36*I36+J28</f>
        <v>-3123183057.6100178</v>
      </c>
      <c r="K36">
        <f>$B$36*J36+K28</f>
        <v>6004100988.7990417</v>
      </c>
      <c r="L36" s="20">
        <f>$B$36*K36+L28</f>
        <v>-3862931995.4581146</v>
      </c>
      <c r="M36">
        <f>$B$36*L36+M28</f>
        <v>6.6314697265625E-2</v>
      </c>
    </row>
    <row r="37" spans="1:13" x14ac:dyDescent="0.35">
      <c r="B37">
        <v>25.143999999999998</v>
      </c>
      <c r="C37" s="21">
        <f>C28</f>
        <v>1</v>
      </c>
      <c r="D37">
        <f>$B$37*C37+D28</f>
        <v>-153.28</v>
      </c>
      <c r="E37">
        <f>$B$37*D37+E28</f>
        <v>9852.2895610000014</v>
      </c>
      <c r="F37">
        <f>$B$37*E37+F28</f>
        <v>-344862.85799157404</v>
      </c>
      <c r="G37">
        <f>$B$37*F37+G28</f>
        <v>7146593.7941850778</v>
      </c>
      <c r="H37">
        <f>$B$37*G37+H28</f>
        <v>-89306245.947111011</v>
      </c>
      <c r="I37">
        <f>$B$37*H37+I28</f>
        <v>656588293.4265151</v>
      </c>
      <c r="J37">
        <f>$B$37*I37+J28</f>
        <v>-2644727764.1788483</v>
      </c>
      <c r="K37">
        <f>$B$37*J37+K28</f>
        <v>5035693001.0594788</v>
      </c>
      <c r="L37" s="20">
        <f>$B$37*K37+L28</f>
        <v>-3223514123.8000793</v>
      </c>
      <c r="M37">
        <f>$B$37*L37+M28</f>
        <v>-6.07147216796875E-2</v>
      </c>
    </row>
    <row r="38" spans="1:13" x14ac:dyDescent="0.35">
      <c r="B38">
        <v>28.805</v>
      </c>
      <c r="C38" s="21">
        <f>C28</f>
        <v>1</v>
      </c>
      <c r="D38">
        <f>$B$38*C38+D28</f>
        <v>-149.619</v>
      </c>
      <c r="E38">
        <f>$B$38*D38+E28</f>
        <v>9396.5865860000013</v>
      </c>
      <c r="F38">
        <f>$B$38*E38+F28</f>
        <v>-321920.150103628</v>
      </c>
      <c r="G38">
        <f>$B$38*F38+G28</f>
        <v>6544915.5717902109</v>
      </c>
      <c r="H38">
        <f>$B$38*G38+H28</f>
        <v>-80473907.26268357</v>
      </c>
      <c r="I38">
        <f>$B$38*H38+I28</f>
        <v>584053642.81907415</v>
      </c>
      <c r="J38">
        <f>$B$38*I38+J28</f>
        <v>-2330318632.6917114</v>
      </c>
      <c r="K38">
        <f>$B$38*J38+K28</f>
        <v>4409899688.8876877</v>
      </c>
      <c r="L38" s="20">
        <f>$B$38*K38+L28</f>
        <v>-2813818404.0297699</v>
      </c>
      <c r="M38">
        <f>$B$38*L38+M28</f>
        <v>0.6909637451171875</v>
      </c>
    </row>
    <row r="39" spans="1:13" x14ac:dyDescent="0.35">
      <c r="B39">
        <v>31.620999999999999</v>
      </c>
      <c r="C39" s="21">
        <f>C28</f>
        <v>1</v>
      </c>
      <c r="D39">
        <f>$B$39*C39+D28</f>
        <v>-146.803</v>
      </c>
      <c r="E39">
        <f>$B$39*D39+E28</f>
        <v>9064.3042180000011</v>
      </c>
      <c r="F39">
        <f>$B$39*E39+F28</f>
        <v>-305966.46303598001</v>
      </c>
      <c r="G39">
        <f>$B$39*F39+G28</f>
        <v>6142859.967864491</v>
      </c>
      <c r="H39">
        <f>$B$39*G39+H28</f>
        <v>-74756825.26425752</v>
      </c>
      <c r="I39">
        <f>$B$39*H39+I28</f>
        <v>538218969.83958721</v>
      </c>
      <c r="J39">
        <f>$B$39*I39+J28</f>
        <v>-2134961768.7975559</v>
      </c>
      <c r="K39">
        <f>$B$39*J39+K28</f>
        <v>4025101812.4249191</v>
      </c>
      <c r="L39" s="20">
        <f>$B$39*K39+L28</f>
        <v>-2563234531.751236</v>
      </c>
      <c r="M39">
        <f>$B$39*L39+M28</f>
        <v>0.2626495361328125</v>
      </c>
    </row>
    <row r="40" spans="1:13" x14ac:dyDescent="0.35">
      <c r="B40">
        <v>32.436</v>
      </c>
      <c r="C40" s="19">
        <f>C28</f>
        <v>1</v>
      </c>
      <c r="D40" s="18">
        <f>$B$40*C40+D28</f>
        <v>-145.988</v>
      </c>
      <c r="E40" s="18">
        <f>$B$40*D40+E28</f>
        <v>8971.0951129999994</v>
      </c>
      <c r="F40" s="18">
        <f>$B$40*E40+F28</f>
        <v>-301602.38562809007</v>
      </c>
      <c r="G40" s="18">
        <f>$B$40*F40+G28</f>
        <v>6035050.5152924862</v>
      </c>
      <c r="H40" s="18">
        <f>$B$40*G40+H28</f>
        <v>-73247301.794073492</v>
      </c>
      <c r="I40" s="18">
        <f>$B$40*H40+I28</f>
        <v>526255060.52810621</v>
      </c>
      <c r="J40" s="18">
        <f>$B$40*I40+J28</f>
        <v>-2084374670.8054886</v>
      </c>
      <c r="K40" s="18">
        <f>$B$40*J40+K28</f>
        <v>3925951081.3256073</v>
      </c>
      <c r="L40" s="17">
        <f>$B$40*K40+L28</f>
        <v>-2498829668.5622101</v>
      </c>
      <c r="M40">
        <f>$B$40*L40+M28</f>
        <v>-0.715362548828125</v>
      </c>
    </row>
    <row r="44" spans="1:13" x14ac:dyDescent="0.35">
      <c r="A44" t="s">
        <v>22</v>
      </c>
      <c r="C44" cm="1">
        <f t="array" ref="C44:L44">MMULT(D15:M15,C31:L40)</f>
        <v>1.2098976646541549E-9</v>
      </c>
      <c r="D44">
        <v>-1.8058534819768586E-7</v>
      </c>
      <c r="E44">
        <v>1.1385520220553525E-5</v>
      </c>
      <c r="F44">
        <v>-3.943047316240008E-4</v>
      </c>
      <c r="G44">
        <v>8.1681076991202833E-3</v>
      </c>
      <c r="H44">
        <v>-0.10337162374906361</v>
      </c>
      <c r="I44">
        <v>0.78534021181789093</v>
      </c>
      <c r="J44">
        <v>-3.4107613312932301</v>
      </c>
      <c r="K44">
        <v>8.474670199139581</v>
      </c>
      <c r="L44">
        <v>-3.49234632896016</v>
      </c>
    </row>
    <row r="45" spans="1:13" x14ac:dyDescent="0.35">
      <c r="B45">
        <f>E1</f>
        <v>25.213777777777779</v>
      </c>
      <c r="C45">
        <f>C44</f>
        <v>1.2098976646541549E-9</v>
      </c>
      <c r="D45">
        <f>$B$45*C45+D44</f>
        <v>-1.5007925734724371E-7</v>
      </c>
      <c r="E45">
        <f>$B$45*D45+E44</f>
        <v>7.6014551767461996E-6</v>
      </c>
      <c r="F45">
        <f>$B$45*E45+F44</f>
        <v>-2.0264333000978362E-4</v>
      </c>
      <c r="G45">
        <f>$B$45*F45+G44</f>
        <v>3.0587038081047119E-3</v>
      </c>
      <c r="H45">
        <f>$B$45*G45+H44</f>
        <v>-2.6250145643468767E-2</v>
      </c>
      <c r="I45">
        <f>$B$45*H45+I44</f>
        <v>0.12347487292916792</v>
      </c>
      <c r="J45">
        <f>$B$45*I45+J44</f>
        <v>-0.2974933241178408</v>
      </c>
      <c r="K45">
        <f>$B$45*J45+K44</f>
        <v>0.97373963445992473</v>
      </c>
      <c r="L45" s="1">
        <f>$B$45*K45+L44</f>
        <v>21.059308427726947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D6F01-4547-4BEA-9294-AC25936F7EE1}">
  <dimension ref="B1:H22"/>
  <sheetViews>
    <sheetView zoomScale="87" workbookViewId="0">
      <selection activeCell="F14" sqref="F14:F15"/>
    </sheetView>
  </sheetViews>
  <sheetFormatPr defaultColWidth="8.81640625" defaultRowHeight="14.5" x14ac:dyDescent="0.35"/>
  <cols>
    <col min="2" max="2" width="9" bestFit="1" customWidth="1"/>
    <col min="3" max="3" width="12.7265625" bestFit="1" customWidth="1"/>
    <col min="4" max="4" width="13.1796875" bestFit="1" customWidth="1"/>
    <col min="5" max="5" width="12.7265625" bestFit="1" customWidth="1"/>
    <col min="6" max="6" width="13.1796875" bestFit="1" customWidth="1"/>
    <col min="7" max="7" width="12.7265625" bestFit="1" customWidth="1"/>
    <col min="8" max="8" width="12.453125" bestFit="1" customWidth="1"/>
  </cols>
  <sheetData>
    <row r="1" spans="2:8" x14ac:dyDescent="0.35">
      <c r="C1">
        <v>0</v>
      </c>
      <c r="D1">
        <v>0</v>
      </c>
      <c r="E1">
        <v>0</v>
      </c>
      <c r="F1">
        <v>0</v>
      </c>
      <c r="G1">
        <v>0</v>
      </c>
      <c r="H1">
        <v>1</v>
      </c>
    </row>
    <row r="2" spans="2:8" x14ac:dyDescent="0.35">
      <c r="B2">
        <v>1.2</v>
      </c>
      <c r="C2" cm="1">
        <f t="array" ref="C2:H2">D1:I1-B2*C1:H1</f>
        <v>0</v>
      </c>
      <c r="D2">
        <v>0</v>
      </c>
      <c r="E2">
        <v>0</v>
      </c>
      <c r="F2">
        <v>0</v>
      </c>
      <c r="G2">
        <v>1</v>
      </c>
      <c r="H2">
        <v>-1.2</v>
      </c>
    </row>
    <row r="3" spans="2:8" x14ac:dyDescent="0.35">
      <c r="B3">
        <v>1.3</v>
      </c>
      <c r="C3" cm="1">
        <f t="array" ref="C3:H3">D2:I2-B3*C2:H2</f>
        <v>0</v>
      </c>
      <c r="D3">
        <v>0</v>
      </c>
      <c r="E3">
        <v>0</v>
      </c>
      <c r="F3">
        <v>1</v>
      </c>
      <c r="G3">
        <v>-2.5</v>
      </c>
      <c r="H3">
        <v>1.56</v>
      </c>
    </row>
    <row r="4" spans="2:8" x14ac:dyDescent="0.35">
      <c r="B4">
        <v>1.5</v>
      </c>
      <c r="C4" cm="1">
        <f t="array" ref="C4:H4">D3:I3-B4*C3:H3</f>
        <v>0</v>
      </c>
      <c r="D4">
        <v>0</v>
      </c>
      <c r="E4">
        <v>1</v>
      </c>
      <c r="F4">
        <v>-4</v>
      </c>
      <c r="G4">
        <v>5.3100000000000005</v>
      </c>
      <c r="H4">
        <v>-2.34</v>
      </c>
    </row>
    <row r="5" spans="2:8" x14ac:dyDescent="0.35">
      <c r="B5">
        <v>1.8</v>
      </c>
      <c r="C5" cm="1">
        <f t="array" ref="C5:H5">D4:I4-B5*C4:H4</f>
        <v>0</v>
      </c>
      <c r="D5">
        <v>1</v>
      </c>
      <c r="E5">
        <v>-5.8</v>
      </c>
      <c r="F5">
        <v>12.510000000000002</v>
      </c>
      <c r="G5">
        <v>-11.898000000000001</v>
      </c>
      <c r="H5">
        <v>4.2119999999999997</v>
      </c>
    </row>
    <row r="6" spans="2:8" x14ac:dyDescent="0.35">
      <c r="B6">
        <v>2</v>
      </c>
      <c r="C6" cm="1">
        <f t="array" ref="C6:H6">D5:I5-B6*C5:H5</f>
        <v>1</v>
      </c>
      <c r="D6">
        <v>-7.8</v>
      </c>
      <c r="E6">
        <v>24.11</v>
      </c>
      <c r="F6">
        <v>-36.918000000000006</v>
      </c>
      <c r="G6">
        <v>28.008000000000003</v>
      </c>
      <c r="H6">
        <v>-8.4239999999999995</v>
      </c>
    </row>
    <row r="7" spans="2:8" x14ac:dyDescent="0.35">
      <c r="B7">
        <v>1.2</v>
      </c>
      <c r="C7">
        <f>C$6</f>
        <v>1</v>
      </c>
      <c r="D7">
        <f>C7*$B7+D$6</f>
        <v>-6.6</v>
      </c>
      <c r="E7">
        <f>D7*$B7+E$6</f>
        <v>16.190000000000001</v>
      </c>
      <c r="F7">
        <f t="shared" ref="F7:H7" si="0">E7*$B7+F$6</f>
        <v>-17.490000000000006</v>
      </c>
      <c r="G7">
        <f t="shared" si="0"/>
        <v>7.019999999999996</v>
      </c>
      <c r="H7">
        <f t="shared" si="0"/>
        <v>0</v>
      </c>
    </row>
    <row r="8" spans="2:8" x14ac:dyDescent="0.35">
      <c r="B8">
        <v>1.3</v>
      </c>
      <c r="C8">
        <f t="shared" ref="C8:C11" si="1">C$6</f>
        <v>1</v>
      </c>
      <c r="D8">
        <f t="shared" ref="D8:H8" si="2">C8*$B8+D$6</f>
        <v>-6.5</v>
      </c>
      <c r="E8">
        <f t="shared" si="2"/>
        <v>15.659999999999998</v>
      </c>
      <c r="F8">
        <f t="shared" si="2"/>
        <v>-16.560000000000009</v>
      </c>
      <c r="G8">
        <f t="shared" si="2"/>
        <v>6.4799999999999898</v>
      </c>
      <c r="H8">
        <f t="shared" si="2"/>
        <v>0</v>
      </c>
    </row>
    <row r="9" spans="2:8" x14ac:dyDescent="0.35">
      <c r="B9">
        <v>1.5</v>
      </c>
      <c r="C9">
        <f t="shared" si="1"/>
        <v>1</v>
      </c>
      <c r="D9">
        <f t="shared" ref="D9:H9" si="3">C9*$B9+D$6</f>
        <v>-6.3</v>
      </c>
      <c r="E9">
        <f t="shared" si="3"/>
        <v>14.66</v>
      </c>
      <c r="F9">
        <f t="shared" si="3"/>
        <v>-14.928000000000004</v>
      </c>
      <c r="G9">
        <f t="shared" si="3"/>
        <v>5.6159999999999961</v>
      </c>
      <c r="H9">
        <f t="shared" si="3"/>
        <v>0</v>
      </c>
    </row>
    <row r="10" spans="2:8" x14ac:dyDescent="0.35">
      <c r="B10">
        <v>1.8</v>
      </c>
      <c r="C10">
        <f t="shared" si="1"/>
        <v>1</v>
      </c>
      <c r="D10">
        <f t="shared" ref="D10:H10" si="4">C10*$B10+D$6</f>
        <v>-6</v>
      </c>
      <c r="E10">
        <f t="shared" si="4"/>
        <v>13.309999999999999</v>
      </c>
      <c r="F10">
        <f t="shared" si="4"/>
        <v>-12.960000000000008</v>
      </c>
      <c r="G10">
        <f t="shared" si="4"/>
        <v>4.6799999999999891</v>
      </c>
      <c r="H10">
        <f t="shared" si="4"/>
        <v>-1.9539925233402755E-14</v>
      </c>
    </row>
    <row r="11" spans="2:8" x14ac:dyDescent="0.35">
      <c r="B11">
        <v>2</v>
      </c>
      <c r="C11">
        <f t="shared" si="1"/>
        <v>1</v>
      </c>
      <c r="D11">
        <f t="shared" ref="D11:H11" si="5">C11*$B11+D$6</f>
        <v>-5.8</v>
      </c>
      <c r="E11">
        <f t="shared" si="5"/>
        <v>12.51</v>
      </c>
      <c r="F11">
        <f t="shared" si="5"/>
        <v>-11.898000000000007</v>
      </c>
      <c r="G11">
        <f t="shared" si="5"/>
        <v>4.2119999999999891</v>
      </c>
      <c r="H11">
        <f t="shared" si="5"/>
        <v>-2.1316282072803006E-14</v>
      </c>
    </row>
    <row r="13" spans="2:8" x14ac:dyDescent="0.35">
      <c r="B13">
        <v>1.2</v>
      </c>
      <c r="C13">
        <v>1</v>
      </c>
      <c r="D13">
        <f>$B$14-B13</f>
        <v>0.10000000000000009</v>
      </c>
      <c r="E13">
        <f>$B$15-B13</f>
        <v>0.30000000000000004</v>
      </c>
      <c r="F13">
        <f>$B$16-B13</f>
        <v>0.60000000000000009</v>
      </c>
      <c r="G13">
        <f>$B$17-B13</f>
        <v>0.8</v>
      </c>
    </row>
    <row r="14" spans="2:8" x14ac:dyDescent="0.35">
      <c r="B14">
        <v>1.3</v>
      </c>
      <c r="C14">
        <f>$B$13-B14</f>
        <v>-0.10000000000000009</v>
      </c>
      <c r="D14">
        <v>1</v>
      </c>
      <c r="E14">
        <f t="shared" ref="E14:E17" si="6">$B$15-B14</f>
        <v>0.19999999999999996</v>
      </c>
      <c r="F14">
        <f t="shared" ref="F14:F17" si="7">$B$16-B14</f>
        <v>0.5</v>
      </c>
      <c r="G14">
        <f t="shared" ref="G14:G16" si="8">$B$17-B14</f>
        <v>0.7</v>
      </c>
    </row>
    <row r="15" spans="2:8" x14ac:dyDescent="0.35">
      <c r="B15">
        <v>1.5</v>
      </c>
      <c r="C15">
        <f t="shared" ref="C15:C17" si="9">$B$13-B15</f>
        <v>-0.30000000000000004</v>
      </c>
      <c r="D15">
        <f t="shared" ref="D15:D17" si="10">$B$14-B15</f>
        <v>-0.19999999999999996</v>
      </c>
      <c r="E15">
        <v>1</v>
      </c>
      <c r="F15">
        <f t="shared" si="7"/>
        <v>0.30000000000000004</v>
      </c>
      <c r="G15">
        <f t="shared" si="8"/>
        <v>0.5</v>
      </c>
    </row>
    <row r="16" spans="2:8" x14ac:dyDescent="0.35">
      <c r="B16">
        <v>1.8</v>
      </c>
      <c r="C16">
        <f t="shared" si="9"/>
        <v>-0.60000000000000009</v>
      </c>
      <c r="D16">
        <f t="shared" si="10"/>
        <v>-0.5</v>
      </c>
      <c r="E16">
        <f t="shared" si="6"/>
        <v>-0.30000000000000004</v>
      </c>
      <c r="F16">
        <v>1</v>
      </c>
      <c r="G16">
        <f t="shared" si="8"/>
        <v>0.19999999999999996</v>
      </c>
    </row>
    <row r="17" spans="2:7" x14ac:dyDescent="0.35">
      <c r="B17">
        <v>2</v>
      </c>
      <c r="C17">
        <f t="shared" si="9"/>
        <v>-0.8</v>
      </c>
      <c r="D17">
        <f t="shared" si="10"/>
        <v>-0.7</v>
      </c>
      <c r="E17">
        <f t="shared" si="6"/>
        <v>-0.5</v>
      </c>
      <c r="F17">
        <f t="shared" si="7"/>
        <v>-0.19999999999999996</v>
      </c>
      <c r="G17">
        <v>1</v>
      </c>
    </row>
    <row r="18" spans="2:7" x14ac:dyDescent="0.35">
      <c r="C18">
        <v>2.173</v>
      </c>
      <c r="D18">
        <v>2.3490000000000002</v>
      </c>
      <c r="E18">
        <v>2.5859999999999999</v>
      </c>
      <c r="F18">
        <v>2.4369999999999998</v>
      </c>
      <c r="G18">
        <v>1.875</v>
      </c>
    </row>
    <row r="19" spans="2:7" x14ac:dyDescent="0.35">
      <c r="C19" s="1">
        <f>C18/C20</f>
        <v>150.9027777777776</v>
      </c>
      <c r="D19" s="1">
        <f t="shared" ref="D19:G19" si="11">D18/D20</f>
        <v>-335.57142857142838</v>
      </c>
      <c r="E19" s="1">
        <f t="shared" si="11"/>
        <v>287.33333333333326</v>
      </c>
      <c r="F19" s="1">
        <f t="shared" si="11"/>
        <v>-135.38888888888886</v>
      </c>
      <c r="G19" s="1">
        <f t="shared" si="11"/>
        <v>33.482142857142868</v>
      </c>
    </row>
    <row r="20" spans="2:7" x14ac:dyDescent="0.35">
      <c r="C20">
        <f>PRODUCT(C13:C17)</f>
        <v>1.4400000000000017E-2</v>
      </c>
      <c r="D20">
        <f t="shared" ref="D20:G20" si="12">PRODUCT(D13:D17)</f>
        <v>-7.0000000000000045E-3</v>
      </c>
      <c r="E20">
        <f t="shared" si="12"/>
        <v>9.0000000000000011E-3</v>
      </c>
      <c r="F20">
        <f t="shared" si="12"/>
        <v>-1.8000000000000002E-2</v>
      </c>
      <c r="G20">
        <f t="shared" si="12"/>
        <v>5.599999999999998E-2</v>
      </c>
    </row>
    <row r="21" spans="2:7" x14ac:dyDescent="0.35">
      <c r="C21" cm="1">
        <f t="array" ref="C21:G21">MMULT(C19:G19,C7:G11)</f>
        <v>0.75793650793648482</v>
      </c>
      <c r="D21">
        <v>-6.8071428571425656</v>
      </c>
      <c r="E21">
        <v>17.209563492063978</v>
      </c>
      <c r="F21">
        <v>-15.269261904759389</v>
      </c>
      <c r="G21">
        <v>5.9054285714309742</v>
      </c>
    </row>
    <row r="22" spans="2:7" x14ac:dyDescent="0.35">
      <c r="B22">
        <v>1.42</v>
      </c>
      <c r="C22">
        <f>C21</f>
        <v>0.75793650793648482</v>
      </c>
      <c r="D22">
        <f>C22*$B$22+D21</f>
        <v>-5.7308730158727572</v>
      </c>
      <c r="E22">
        <f t="shared" ref="E22:G22" si="13">D22*$B$22+E21</f>
        <v>9.0717238095246628</v>
      </c>
      <c r="F22">
        <f>E22*$B$22+F21</f>
        <v>-2.3874140952343694</v>
      </c>
      <c r="G22">
        <f t="shared" si="13"/>
        <v>2.5153005561981696</v>
      </c>
    </row>
  </sheetData>
  <sheetProtection sheet="1" objects="1" scenario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92D8-4C41-425B-A6D7-1280E2C5C158}">
  <dimension ref="C1:J28"/>
  <sheetViews>
    <sheetView zoomScaleNormal="100" workbookViewId="0">
      <selection activeCell="D9" sqref="D9"/>
    </sheetView>
  </sheetViews>
  <sheetFormatPr defaultColWidth="8.81640625" defaultRowHeight="14.5" x14ac:dyDescent="0.35"/>
  <cols>
    <col min="3" max="3" width="9.26953125" customWidth="1"/>
    <col min="4" max="4" width="12.7265625" bestFit="1" customWidth="1"/>
    <col min="5" max="5" width="12" bestFit="1" customWidth="1"/>
    <col min="6" max="6" width="12.7265625" bestFit="1" customWidth="1"/>
    <col min="7" max="7" width="12" bestFit="1" customWidth="1"/>
    <col min="8" max="8" width="12.7265625" bestFit="1" customWidth="1"/>
    <col min="9" max="10" width="12" bestFit="1" customWidth="1"/>
  </cols>
  <sheetData>
    <row r="1" spans="3:10" x14ac:dyDescent="0.35">
      <c r="D1" t="s">
        <v>0</v>
      </c>
      <c r="E1" t="s">
        <v>1</v>
      </c>
      <c r="I1" t="s">
        <v>2</v>
      </c>
    </row>
    <row r="2" spans="3:10" x14ac:dyDescent="0.35">
      <c r="C2">
        <v>3.5</v>
      </c>
      <c r="D2">
        <v>1</v>
      </c>
      <c r="E2">
        <f>$C$3-C2</f>
        <v>0.20000000000000018</v>
      </c>
      <c r="F2">
        <f>$C$4-C2</f>
        <v>0.29999999999999982</v>
      </c>
      <c r="G2">
        <f>$C$5-C2</f>
        <v>0.5</v>
      </c>
      <c r="H2">
        <f>$C$6-C2</f>
        <v>0.59999999999999964</v>
      </c>
      <c r="I2">
        <f>$C$7-C2</f>
        <v>0.90000000000000036</v>
      </c>
    </row>
    <row r="3" spans="3:10" x14ac:dyDescent="0.35">
      <c r="C3">
        <v>3.7</v>
      </c>
      <c r="D3">
        <f t="shared" ref="D3:D6" si="0">$C$2-C3</f>
        <v>-0.20000000000000018</v>
      </c>
      <c r="E3">
        <v>1</v>
      </c>
      <c r="F3">
        <f t="shared" ref="F3:F7" si="1">$C$4-C3</f>
        <v>9.9999999999999645E-2</v>
      </c>
      <c r="G3">
        <f t="shared" ref="G3:G7" si="2">$C$5-C3</f>
        <v>0.29999999999999982</v>
      </c>
      <c r="H3">
        <f t="shared" ref="H3:H7" si="3">$C$6-C3</f>
        <v>0.39999999999999947</v>
      </c>
      <c r="I3">
        <f t="shared" ref="I3:I6" si="4">$C$7-C3</f>
        <v>0.70000000000000018</v>
      </c>
    </row>
    <row r="4" spans="3:10" x14ac:dyDescent="0.35">
      <c r="C4">
        <v>3.8</v>
      </c>
      <c r="D4">
        <f t="shared" si="0"/>
        <v>-0.29999999999999982</v>
      </c>
      <c r="E4">
        <f t="shared" ref="E4:E7" si="5">$C$3-C4</f>
        <v>-9.9999999999999645E-2</v>
      </c>
      <c r="F4">
        <v>1</v>
      </c>
      <c r="G4">
        <f t="shared" si="2"/>
        <v>0.20000000000000018</v>
      </c>
      <c r="H4">
        <f t="shared" si="3"/>
        <v>0.29999999999999982</v>
      </c>
      <c r="I4">
        <f t="shared" si="4"/>
        <v>0.60000000000000053</v>
      </c>
    </row>
    <row r="5" spans="3:10" x14ac:dyDescent="0.35">
      <c r="C5">
        <v>4</v>
      </c>
      <c r="D5">
        <f t="shared" si="0"/>
        <v>-0.5</v>
      </c>
      <c r="E5">
        <f t="shared" si="5"/>
        <v>-0.29999999999999982</v>
      </c>
      <c r="F5">
        <f t="shared" si="1"/>
        <v>-0.20000000000000018</v>
      </c>
      <c r="G5">
        <v>1</v>
      </c>
      <c r="H5">
        <f t="shared" si="3"/>
        <v>9.9999999999999645E-2</v>
      </c>
      <c r="I5">
        <f t="shared" si="4"/>
        <v>0.40000000000000036</v>
      </c>
    </row>
    <row r="6" spans="3:10" x14ac:dyDescent="0.35">
      <c r="C6">
        <v>4.0999999999999996</v>
      </c>
      <c r="D6">
        <f t="shared" si="0"/>
        <v>-0.59999999999999964</v>
      </c>
      <c r="E6">
        <f t="shared" si="5"/>
        <v>-0.39999999999999947</v>
      </c>
      <c r="F6">
        <f t="shared" si="1"/>
        <v>-0.29999999999999982</v>
      </c>
      <c r="G6">
        <f t="shared" si="2"/>
        <v>-9.9999999999999645E-2</v>
      </c>
      <c r="H6">
        <v>1</v>
      </c>
      <c r="I6">
        <f t="shared" si="4"/>
        <v>0.30000000000000071</v>
      </c>
    </row>
    <row r="7" spans="3:10" x14ac:dyDescent="0.35">
      <c r="C7">
        <v>4.4000000000000004</v>
      </c>
      <c r="D7">
        <f>$C$2-C7</f>
        <v>-0.90000000000000036</v>
      </c>
      <c r="E7">
        <f t="shared" si="5"/>
        <v>-0.70000000000000018</v>
      </c>
      <c r="F7">
        <f t="shared" si="1"/>
        <v>-0.60000000000000053</v>
      </c>
      <c r="G7">
        <f t="shared" si="2"/>
        <v>-0.40000000000000036</v>
      </c>
      <c r="H7">
        <f t="shared" si="3"/>
        <v>-0.30000000000000071</v>
      </c>
      <c r="I7">
        <v>1</v>
      </c>
    </row>
    <row r="8" spans="3:10" x14ac:dyDescent="0.35">
      <c r="D8">
        <v>15.675000000000001</v>
      </c>
      <c r="E8">
        <v>16.742999999999999</v>
      </c>
      <c r="F8">
        <v>17.981000000000002</v>
      </c>
      <c r="G8">
        <v>16.431999999999999</v>
      </c>
      <c r="H8">
        <v>15.917</v>
      </c>
      <c r="I8">
        <v>14.305</v>
      </c>
    </row>
    <row r="9" spans="3:10" x14ac:dyDescent="0.35">
      <c r="D9" s="1">
        <f>D8/PRODUCT(D2:D7)</f>
        <v>-967.5925925925925</v>
      </c>
      <c r="E9" s="1">
        <f t="shared" ref="E9:H9" si="6">E8/PRODUCT(E2:E7)</f>
        <v>9966.0714285714694</v>
      </c>
      <c r="F9" s="1">
        <f t="shared" si="6"/>
        <v>-16649.074074074124</v>
      </c>
      <c r="G9" s="1">
        <f t="shared" si="6"/>
        <v>13693.333333333365</v>
      </c>
      <c r="H9" s="1">
        <f t="shared" si="6"/>
        <v>-7368.9814814815081</v>
      </c>
      <c r="I9" s="1">
        <f>I8/PRODUCT(I2:I7)</f>
        <v>315.36596119929294</v>
      </c>
    </row>
    <row r="11" spans="3:10" x14ac:dyDescent="0.35"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</row>
    <row r="12" spans="3:10" x14ac:dyDescent="0.35">
      <c r="C12">
        <v>3.5</v>
      </c>
      <c r="D12" cm="1">
        <f t="array" ref="D12:J12">E11:K11-C12*D11:J11</f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-3.5</v>
      </c>
    </row>
    <row r="13" spans="3:10" x14ac:dyDescent="0.35">
      <c r="C13">
        <v>3.7</v>
      </c>
      <c r="D13" cm="1">
        <f t="array" ref="D13:J13">E12:K12-C13*D12:J12</f>
        <v>0</v>
      </c>
      <c r="E13">
        <v>0</v>
      </c>
      <c r="F13">
        <v>0</v>
      </c>
      <c r="G13">
        <v>0</v>
      </c>
      <c r="H13">
        <v>1</v>
      </c>
      <c r="I13">
        <v>-7.2</v>
      </c>
      <c r="J13">
        <v>12.950000000000001</v>
      </c>
    </row>
    <row r="14" spans="3:10" x14ac:dyDescent="0.35">
      <c r="C14">
        <v>3.8</v>
      </c>
      <c r="D14" cm="1">
        <f t="array" ref="D14:J14">E13:K13-C14*D13:J13</f>
        <v>0</v>
      </c>
      <c r="E14">
        <v>0</v>
      </c>
      <c r="F14">
        <v>0</v>
      </c>
      <c r="G14">
        <v>1</v>
      </c>
      <c r="H14">
        <v>-11</v>
      </c>
      <c r="I14">
        <v>40.31</v>
      </c>
      <c r="J14">
        <v>-49.21</v>
      </c>
    </row>
    <row r="15" spans="3:10" x14ac:dyDescent="0.35">
      <c r="C15">
        <v>4</v>
      </c>
      <c r="D15" cm="1">
        <f t="array" ref="D15:J15">E14:K14-C15*D14:J14</f>
        <v>0</v>
      </c>
      <c r="E15">
        <v>0</v>
      </c>
      <c r="F15">
        <v>1</v>
      </c>
      <c r="G15">
        <v>-15</v>
      </c>
      <c r="H15">
        <v>84.31</v>
      </c>
      <c r="I15">
        <v>-210.45000000000002</v>
      </c>
      <c r="J15">
        <v>196.84</v>
      </c>
    </row>
    <row r="16" spans="3:10" x14ac:dyDescent="0.35">
      <c r="C16">
        <v>4.0999999999999996</v>
      </c>
      <c r="D16" cm="1">
        <f t="array" ref="D16:J16">E15:K15-C16*D15:J15</f>
        <v>0</v>
      </c>
      <c r="E16">
        <v>1</v>
      </c>
      <c r="F16">
        <v>-19.100000000000001</v>
      </c>
      <c r="G16">
        <v>145.81</v>
      </c>
      <c r="H16">
        <v>-556.12099999999998</v>
      </c>
      <c r="I16">
        <v>1059.6849999999999</v>
      </c>
      <c r="J16">
        <v>-807.04399999999998</v>
      </c>
    </row>
    <row r="17" spans="3:10" ht="15" thickBot="1" x14ac:dyDescent="0.4">
      <c r="C17">
        <v>4.4000000000000004</v>
      </c>
      <c r="D17" s="3" cm="1">
        <f t="array" ref="D17:J17">E16:K16-C17*D16:J16</f>
        <v>1</v>
      </c>
      <c r="E17" s="3">
        <v>-23.5</v>
      </c>
      <c r="F17" s="3">
        <v>229.85000000000002</v>
      </c>
      <c r="G17" s="3">
        <v>-1197.6849999999999</v>
      </c>
      <c r="H17" s="3">
        <v>3506.6174000000001</v>
      </c>
      <c r="I17" s="3">
        <v>-5469.6580000000004</v>
      </c>
      <c r="J17" s="3">
        <v>3550.9936000000002</v>
      </c>
    </row>
    <row r="18" spans="3:10" x14ac:dyDescent="0.35">
      <c r="C18">
        <v>3.5</v>
      </c>
      <c r="D18" s="4">
        <f>D$17</f>
        <v>1</v>
      </c>
      <c r="E18" s="5">
        <f>D18*$C18+E$17</f>
        <v>-20</v>
      </c>
      <c r="F18" s="5">
        <f>E18*$C18+F$17</f>
        <v>159.85000000000002</v>
      </c>
      <c r="G18" s="5">
        <f>F18*$C18+G$17</f>
        <v>-638.20999999999981</v>
      </c>
      <c r="H18" s="5">
        <f>G18*$C18+H$17</f>
        <v>1272.8824000000009</v>
      </c>
      <c r="I18" s="6">
        <f t="shared" ref="I18:J18" si="7">H18*$C18+I$17</f>
        <v>-1014.5695999999971</v>
      </c>
      <c r="J18" s="2">
        <f t="shared" si="7"/>
        <v>1.0459189070388675E-11</v>
      </c>
    </row>
    <row r="19" spans="3:10" x14ac:dyDescent="0.35">
      <c r="C19">
        <v>3.7</v>
      </c>
      <c r="D19" s="7">
        <f>D$17</f>
        <v>1</v>
      </c>
      <c r="E19">
        <f>D19*$C19+E$17</f>
        <v>-19.8</v>
      </c>
      <c r="F19">
        <f t="shared" ref="F19:J19" si="8">E19*$C19+F$17</f>
        <v>156.59000000000003</v>
      </c>
      <c r="G19">
        <f t="shared" si="8"/>
        <v>-618.30199999999979</v>
      </c>
      <c r="H19">
        <f t="shared" si="8"/>
        <v>1218.9000000000005</v>
      </c>
      <c r="I19" s="8">
        <f t="shared" si="8"/>
        <v>-959.72799999999825</v>
      </c>
      <c r="J19" s="2">
        <f t="shared" si="8"/>
        <v>6.3664629124104977E-12</v>
      </c>
    </row>
    <row r="20" spans="3:10" x14ac:dyDescent="0.35">
      <c r="C20">
        <v>3.8</v>
      </c>
      <c r="D20" s="7">
        <f t="shared" ref="D20:D23" si="9">D$17</f>
        <v>1</v>
      </c>
      <c r="E20">
        <f t="shared" ref="E20:J20" si="10">D20*$C20+E$17</f>
        <v>-19.7</v>
      </c>
      <c r="F20">
        <f t="shared" si="10"/>
        <v>154.99</v>
      </c>
      <c r="G20">
        <f t="shared" si="10"/>
        <v>-608.72299999999996</v>
      </c>
      <c r="H20">
        <f t="shared" si="10"/>
        <v>1193.4700000000003</v>
      </c>
      <c r="I20" s="8">
        <f t="shared" si="10"/>
        <v>-934.47199999999975</v>
      </c>
      <c r="J20" s="2">
        <f t="shared" si="10"/>
        <v>0</v>
      </c>
    </row>
    <row r="21" spans="3:10" x14ac:dyDescent="0.35">
      <c r="C21">
        <v>4</v>
      </c>
      <c r="D21" s="7">
        <f t="shared" si="9"/>
        <v>1</v>
      </c>
      <c r="E21">
        <f t="shared" ref="E21:J21" si="11">D21*$C21+E$17</f>
        <v>-19.5</v>
      </c>
      <c r="F21">
        <f t="shared" si="11"/>
        <v>151.85000000000002</v>
      </c>
      <c r="G21">
        <f t="shared" si="11"/>
        <v>-590.28499999999985</v>
      </c>
      <c r="H21">
        <f t="shared" si="11"/>
        <v>1145.4774000000007</v>
      </c>
      <c r="I21" s="8">
        <f t="shared" si="11"/>
        <v>-887.74839999999767</v>
      </c>
      <c r="J21" s="2">
        <f t="shared" si="11"/>
        <v>9.5496943686157465E-12</v>
      </c>
    </row>
    <row r="22" spans="3:10" x14ac:dyDescent="0.35">
      <c r="C22">
        <v>4.0999999999999996</v>
      </c>
      <c r="D22" s="7">
        <f t="shared" si="9"/>
        <v>1</v>
      </c>
      <c r="E22">
        <f t="shared" ref="E22:J22" si="12">D22*$C22+E$17</f>
        <v>-19.399999999999999</v>
      </c>
      <c r="F22">
        <f t="shared" si="12"/>
        <v>150.31000000000003</v>
      </c>
      <c r="G22">
        <f t="shared" si="12"/>
        <v>-581.41399999999987</v>
      </c>
      <c r="H22">
        <f t="shared" si="12"/>
        <v>1122.8200000000006</v>
      </c>
      <c r="I22" s="8">
        <f t="shared" si="12"/>
        <v>-866.09599999999864</v>
      </c>
      <c r="J22" s="2">
        <f t="shared" si="12"/>
        <v>5.9117155615240335E-12</v>
      </c>
    </row>
    <row r="23" spans="3:10" ht="15" thickBot="1" x14ac:dyDescent="0.4">
      <c r="C23">
        <v>4.4000000000000004</v>
      </c>
      <c r="D23" s="9">
        <f t="shared" si="9"/>
        <v>1</v>
      </c>
      <c r="E23" s="10">
        <f t="shared" ref="E23:J23" si="13">D23*$C23+E$17</f>
        <v>-19.100000000000001</v>
      </c>
      <c r="F23" s="10">
        <f t="shared" si="13"/>
        <v>145.81</v>
      </c>
      <c r="G23" s="10">
        <f t="shared" si="13"/>
        <v>-556.12099999999987</v>
      </c>
      <c r="H23" s="10">
        <f t="shared" si="13"/>
        <v>1059.6850000000004</v>
      </c>
      <c r="I23" s="11">
        <f t="shared" si="13"/>
        <v>-807.04399999999805</v>
      </c>
      <c r="J23" s="2">
        <f t="shared" si="13"/>
        <v>8.6401996668428183E-12</v>
      </c>
    </row>
    <row r="25" spans="3:10" x14ac:dyDescent="0.35">
      <c r="D25" s="1" cm="1">
        <f t="array" ref="D25:I25">MMULT(D9:I9,D18:I23)</f>
        <v>-1010.8774250440979</v>
      </c>
      <c r="E25" s="1">
        <v>19925.147707231066</v>
      </c>
      <c r="F25" s="1">
        <v>-156837.97067901268</v>
      </c>
      <c r="G25" s="1">
        <v>616237.7883818401</v>
      </c>
      <c r="H25" s="1">
        <v>-1208604.8968245182</v>
      </c>
      <c r="I25" s="1">
        <v>946562.19883954409</v>
      </c>
    </row>
    <row r="26" spans="3:10" x14ac:dyDescent="0.35">
      <c r="C26">
        <v>3.95</v>
      </c>
      <c r="D26">
        <f>D25</f>
        <v>-1010.8774250440979</v>
      </c>
      <c r="E26">
        <f>D26*$C$26+E25</f>
        <v>15932.181878306879</v>
      </c>
      <c r="F26">
        <f t="shared" ref="F26:H26" si="14">E26*$C$26+F25</f>
        <v>-93905.852259700507</v>
      </c>
      <c r="G26">
        <f t="shared" si="14"/>
        <v>245309.67195602308</v>
      </c>
      <c r="H26">
        <f t="shared" si="14"/>
        <v>-239631.69259822695</v>
      </c>
      <c r="I26" s="1">
        <f>H26*$C$26+I25</f>
        <v>17.013076547649689</v>
      </c>
    </row>
    <row r="27" spans="3:10" x14ac:dyDescent="0.35">
      <c r="D27">
        <f>D26</f>
        <v>-1010.8774250440979</v>
      </c>
      <c r="E27">
        <f>D27*$C$26+E26</f>
        <v>11939.216049382692</v>
      </c>
      <c r="F27">
        <f t="shared" ref="F27:G27" si="15">E27*$C$26+F26</f>
        <v>-46745.948864638871</v>
      </c>
      <c r="G27">
        <f t="shared" si="15"/>
        <v>60663.173940699548</v>
      </c>
      <c r="H27" s="1">
        <f>G27*$C$26+H26</f>
        <v>-12.155532463715645</v>
      </c>
    </row>
    <row r="28" spans="3:10" x14ac:dyDescent="0.35">
      <c r="D28">
        <f>D27</f>
        <v>-1010.8774250440979</v>
      </c>
      <c r="E28">
        <f>D28*$C$26+E27</f>
        <v>7946.2502204585053</v>
      </c>
      <c r="F28">
        <f t="shared" ref="F28" si="16">E28*$C$26+F27</f>
        <v>-15358.260493827773</v>
      </c>
      <c r="G28">
        <f>F28*$C$26+G27</f>
        <v>-1.9550099201587727</v>
      </c>
      <c r="J28" s="1">
        <f>G28*2</f>
        <v>-3.9100198403175455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894A4-1B0C-4F78-AFBC-B04472B06FD1}">
  <dimension ref="A2:J32"/>
  <sheetViews>
    <sheetView topLeftCell="A15" workbookViewId="0">
      <selection activeCell="E22" sqref="E22"/>
    </sheetView>
  </sheetViews>
  <sheetFormatPr defaultRowHeight="14.5" x14ac:dyDescent="0.35"/>
  <cols>
    <col min="1" max="1" width="14.7265625" customWidth="1"/>
  </cols>
  <sheetData>
    <row r="2" spans="2:10" ht="15" thickBot="1" x14ac:dyDescent="0.4">
      <c r="B2" t="s">
        <v>3</v>
      </c>
      <c r="C2" t="s">
        <v>4</v>
      </c>
      <c r="D2" t="s">
        <v>6</v>
      </c>
      <c r="E2" t="s">
        <v>5</v>
      </c>
      <c r="I2" t="s">
        <v>18</v>
      </c>
    </row>
    <row r="3" spans="2:10" x14ac:dyDescent="0.35">
      <c r="B3" s="4">
        <v>1.2</v>
      </c>
      <c r="C3" s="6">
        <f>ROUND((B3^2-3*COS(B3)),4)</f>
        <v>0.35289999999999999</v>
      </c>
      <c r="D3">
        <v>1</v>
      </c>
      <c r="E3">
        <f>$B$4-B3</f>
        <v>0.19999999999999996</v>
      </c>
      <c r="F3">
        <f>$B$5-B3</f>
        <v>0.40000000000000013</v>
      </c>
      <c r="G3">
        <f>$B$6-B3</f>
        <v>0.60000000000000009</v>
      </c>
      <c r="H3">
        <f>$B$7-B3</f>
        <v>0.8</v>
      </c>
      <c r="I3">
        <f>$B$8-B3</f>
        <v>1.0000000000000002</v>
      </c>
    </row>
    <row r="4" spans="2:10" x14ac:dyDescent="0.35">
      <c r="B4" s="7">
        <v>1.4</v>
      </c>
      <c r="C4" s="8">
        <f t="shared" ref="C4:C8" si="0">ROUND((B4^2-3*COS(B4)),4)</f>
        <v>1.4500999999999999</v>
      </c>
      <c r="D4">
        <f t="shared" ref="D4:D8" si="1">$B$3-B4</f>
        <v>-0.19999999999999996</v>
      </c>
      <c r="E4">
        <v>1</v>
      </c>
      <c r="F4">
        <f t="shared" ref="F4:F8" si="2">$B$5-B4</f>
        <v>0.20000000000000018</v>
      </c>
      <c r="G4">
        <f t="shared" ref="G4:G8" si="3">$B$6-B4</f>
        <v>0.40000000000000013</v>
      </c>
      <c r="H4">
        <f t="shared" ref="H4:H8" si="4">$B$7-B4</f>
        <v>0.60000000000000009</v>
      </c>
      <c r="I4">
        <f t="shared" ref="I4:I7" si="5">$B$8-B4</f>
        <v>0.80000000000000027</v>
      </c>
    </row>
    <row r="5" spans="2:10" x14ac:dyDescent="0.35">
      <c r="B5" s="7">
        <v>1.6</v>
      </c>
      <c r="C5" s="8">
        <f t="shared" si="0"/>
        <v>2.6476000000000002</v>
      </c>
      <c r="D5">
        <f t="shared" si="1"/>
        <v>-0.40000000000000013</v>
      </c>
      <c r="E5">
        <f>$B$4-B5</f>
        <v>-0.20000000000000018</v>
      </c>
      <c r="F5">
        <v>1</v>
      </c>
      <c r="G5">
        <f t="shared" si="3"/>
        <v>0.19999999999999996</v>
      </c>
      <c r="H5">
        <f t="shared" si="4"/>
        <v>0.39999999999999991</v>
      </c>
      <c r="I5">
        <f t="shared" si="5"/>
        <v>0.60000000000000009</v>
      </c>
    </row>
    <row r="6" spans="2:10" x14ac:dyDescent="0.35">
      <c r="B6" s="7">
        <v>1.8</v>
      </c>
      <c r="C6" s="8">
        <f t="shared" si="0"/>
        <v>3.9216000000000002</v>
      </c>
      <c r="D6">
        <f t="shared" si="1"/>
        <v>-0.60000000000000009</v>
      </c>
      <c r="E6">
        <f t="shared" ref="E6:E8" si="6">$B$4-B6</f>
        <v>-0.40000000000000013</v>
      </c>
      <c r="F6">
        <f t="shared" si="2"/>
        <v>-0.19999999999999996</v>
      </c>
      <c r="G6">
        <v>1</v>
      </c>
      <c r="H6">
        <f t="shared" si="4"/>
        <v>0.19999999999999996</v>
      </c>
      <c r="I6">
        <f t="shared" si="5"/>
        <v>0.40000000000000013</v>
      </c>
    </row>
    <row r="7" spans="2:10" x14ac:dyDescent="0.35">
      <c r="B7" s="7">
        <v>2</v>
      </c>
      <c r="C7" s="8">
        <f t="shared" si="0"/>
        <v>5.2484000000000002</v>
      </c>
      <c r="D7">
        <f t="shared" si="1"/>
        <v>-0.8</v>
      </c>
      <c r="E7">
        <f t="shared" si="6"/>
        <v>-0.60000000000000009</v>
      </c>
      <c r="F7">
        <f t="shared" si="2"/>
        <v>-0.39999999999999991</v>
      </c>
      <c r="G7">
        <f t="shared" si="3"/>
        <v>-0.19999999999999996</v>
      </c>
      <c r="H7">
        <v>1</v>
      </c>
      <c r="I7">
        <f t="shared" si="5"/>
        <v>0.20000000000000018</v>
      </c>
    </row>
    <row r="8" spans="2:10" ht="15" thickBot="1" x14ac:dyDescent="0.4">
      <c r="B8" s="9">
        <v>2.2000000000000002</v>
      </c>
      <c r="C8" s="11">
        <f t="shared" si="0"/>
        <v>6.6055000000000001</v>
      </c>
      <c r="D8">
        <f t="shared" si="1"/>
        <v>-1.0000000000000002</v>
      </c>
      <c r="E8">
        <f t="shared" si="6"/>
        <v>-0.80000000000000027</v>
      </c>
      <c r="F8">
        <f t="shared" si="2"/>
        <v>-0.60000000000000009</v>
      </c>
      <c r="G8">
        <f t="shared" si="3"/>
        <v>-0.40000000000000013</v>
      </c>
      <c r="H8">
        <f t="shared" si="4"/>
        <v>-0.20000000000000018</v>
      </c>
      <c r="I8">
        <v>1</v>
      </c>
    </row>
    <row r="10" spans="2:10" x14ac:dyDescent="0.35">
      <c r="D10" cm="1">
        <f t="array" ref="D10:I10">TRANSPOSE(C3:C8)</f>
        <v>0.35289999999999999</v>
      </c>
      <c r="E10">
        <v>1.4500999999999999</v>
      </c>
      <c r="F10">
        <v>2.6476000000000002</v>
      </c>
      <c r="G10">
        <v>3.9216000000000002</v>
      </c>
      <c r="H10">
        <v>5.2484000000000002</v>
      </c>
      <c r="I10">
        <v>6.6055000000000001</v>
      </c>
    </row>
    <row r="11" spans="2:10" x14ac:dyDescent="0.35">
      <c r="C11" t="s">
        <v>8</v>
      </c>
      <c r="D11" s="1">
        <f>D10/PRODUCT(D3:D8)</f>
        <v>-9.1901041666666607</v>
      </c>
      <c r="E11" s="1">
        <f>E10/PRODUCT(E3:E8)</f>
        <v>188.81510416666637</v>
      </c>
      <c r="F11" s="1">
        <f t="shared" ref="E11:I11" si="7">F10/PRODUCT(F3:F8)</f>
        <v>-689.47916666666595</v>
      </c>
      <c r="G11" s="1">
        <f t="shared" si="7"/>
        <v>1021.2499999999998</v>
      </c>
      <c r="H11" s="1">
        <f t="shared" si="7"/>
        <v>-683.38541666666629</v>
      </c>
      <c r="I11" s="1">
        <f t="shared" si="7"/>
        <v>172.01822916666632</v>
      </c>
      <c r="J11" s="1"/>
    </row>
    <row r="13" spans="2:10" x14ac:dyDescent="0.35"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</row>
    <row r="14" spans="2:10" x14ac:dyDescent="0.35">
      <c r="B14" cm="1">
        <f t="array" ref="B14:B19">TRANSPOSE(TRANSPOSE(B3:B8))</f>
        <v>1.2</v>
      </c>
      <c r="C14" cm="1">
        <f t="array" ref="C14:I14">D13:J13-B14*C13:I13</f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-1.2</v>
      </c>
    </row>
    <row r="15" spans="2:10" x14ac:dyDescent="0.35">
      <c r="B15">
        <v>1.4</v>
      </c>
      <c r="C15" cm="1">
        <f t="array" ref="C15:I15">D14:J14-B15*C14:I14</f>
        <v>0</v>
      </c>
      <c r="D15">
        <v>0</v>
      </c>
      <c r="E15">
        <v>0</v>
      </c>
      <c r="F15">
        <v>0</v>
      </c>
      <c r="G15">
        <v>1</v>
      </c>
      <c r="H15">
        <v>-2.5999999999999996</v>
      </c>
      <c r="I15">
        <v>1.68</v>
      </c>
    </row>
    <row r="16" spans="2:10" x14ac:dyDescent="0.35">
      <c r="B16">
        <v>1.6</v>
      </c>
      <c r="C16" cm="1">
        <f t="array" ref="C16:I16">D15:J15-B16*C15:I15</f>
        <v>0</v>
      </c>
      <c r="D16">
        <v>0</v>
      </c>
      <c r="E16">
        <v>0</v>
      </c>
      <c r="F16">
        <v>1</v>
      </c>
      <c r="G16">
        <v>-4.1999999999999993</v>
      </c>
      <c r="H16">
        <v>5.839999999999999</v>
      </c>
      <c r="I16">
        <v>-2.6880000000000002</v>
      </c>
    </row>
    <row r="17" spans="1:10" x14ac:dyDescent="0.35">
      <c r="B17">
        <v>1.8</v>
      </c>
      <c r="C17" cm="1">
        <f t="array" ref="C17:I17">D16:J16-B17*C16:I16</f>
        <v>0</v>
      </c>
      <c r="D17">
        <v>0</v>
      </c>
      <c r="E17">
        <v>1</v>
      </c>
      <c r="F17">
        <v>-5.9999999999999991</v>
      </c>
      <c r="G17">
        <v>13.399999999999999</v>
      </c>
      <c r="H17">
        <v>-13.2</v>
      </c>
      <c r="I17">
        <v>4.8384</v>
      </c>
    </row>
    <row r="18" spans="1:10" x14ac:dyDescent="0.35">
      <c r="B18">
        <v>2</v>
      </c>
      <c r="C18" cm="1">
        <f t="array" ref="C18:I18">D17:J17-B18*C17:I17</f>
        <v>0</v>
      </c>
      <c r="D18">
        <v>1</v>
      </c>
      <c r="E18">
        <v>-7.9999999999999991</v>
      </c>
      <c r="F18">
        <v>25.4</v>
      </c>
      <c r="G18">
        <v>-40</v>
      </c>
      <c r="H18">
        <v>31.238399999999999</v>
      </c>
      <c r="I18">
        <v>-9.6768000000000001</v>
      </c>
    </row>
    <row r="19" spans="1:10" x14ac:dyDescent="0.35">
      <c r="B19">
        <v>2.2000000000000002</v>
      </c>
      <c r="C19" s="3" cm="1">
        <f t="array" ref="C19:I19">D18:J18-B19*C18:I18</f>
        <v>1</v>
      </c>
      <c r="D19" s="3">
        <v>-10.199999999999999</v>
      </c>
      <c r="E19" s="3">
        <v>43</v>
      </c>
      <c r="F19" s="3">
        <v>-95.88</v>
      </c>
      <c r="G19" s="3">
        <v>119.2384</v>
      </c>
      <c r="H19" s="3">
        <v>-78.40128</v>
      </c>
      <c r="I19" s="3">
        <v>21.288960000000003</v>
      </c>
    </row>
    <row r="20" spans="1:10" ht="15" thickBot="1" x14ac:dyDescent="0.4">
      <c r="C20" s="3"/>
      <c r="D20" s="3"/>
      <c r="E20" s="3"/>
      <c r="F20" s="3"/>
      <c r="G20" s="3"/>
      <c r="H20" s="3"/>
      <c r="I20" s="3"/>
      <c r="J20" s="3"/>
    </row>
    <row r="21" spans="1:10" x14ac:dyDescent="0.35">
      <c r="B21" cm="1">
        <f t="array" ref="B21:B26">TRANSPOSE(TRANSPOSE(B3:B8))</f>
        <v>1.2</v>
      </c>
      <c r="C21" s="4">
        <f>C$19</f>
        <v>1</v>
      </c>
      <c r="D21" s="5">
        <f>C21*$B$21+D19</f>
        <v>-9</v>
      </c>
      <c r="E21" s="5">
        <f>D21*$B$21+E19</f>
        <v>32.200000000000003</v>
      </c>
      <c r="F21" s="5">
        <f t="shared" ref="E21:I21" si="8">E21*$B$21+F19</f>
        <v>-57.239999999999995</v>
      </c>
      <c r="G21" s="5">
        <f t="shared" si="8"/>
        <v>50.55040000000001</v>
      </c>
      <c r="H21" s="6">
        <f t="shared" si="8"/>
        <v>-17.740799999999993</v>
      </c>
      <c r="I21">
        <f t="shared" si="8"/>
        <v>0</v>
      </c>
    </row>
    <row r="22" spans="1:10" x14ac:dyDescent="0.35">
      <c r="B22">
        <v>1.4</v>
      </c>
      <c r="C22" s="7">
        <f t="shared" ref="C22:C26" si="9">C$19</f>
        <v>1</v>
      </c>
      <c r="D22">
        <f>C22*$B$22+D19</f>
        <v>-8.7999999999999989</v>
      </c>
      <c r="E22">
        <f t="shared" ref="E22:I22" si="10">D22*$B$22+E19</f>
        <v>30.68</v>
      </c>
      <c r="F22">
        <f t="shared" si="10"/>
        <v>-52.927999999999997</v>
      </c>
      <c r="G22">
        <f t="shared" si="10"/>
        <v>45.139200000000002</v>
      </c>
      <c r="H22" s="8">
        <f t="shared" si="10"/>
        <v>-15.206400000000002</v>
      </c>
      <c r="I22">
        <f t="shared" si="10"/>
        <v>0</v>
      </c>
    </row>
    <row r="23" spans="1:10" x14ac:dyDescent="0.35">
      <c r="B23">
        <v>1.6</v>
      </c>
      <c r="C23" s="7">
        <f t="shared" si="9"/>
        <v>1</v>
      </c>
      <c r="D23">
        <f>C23*$B$23+D19</f>
        <v>-8.6</v>
      </c>
      <c r="E23">
        <f t="shared" ref="E23:I23" si="11">D23*$B$23+E19</f>
        <v>29.240000000000002</v>
      </c>
      <c r="F23">
        <f t="shared" si="11"/>
        <v>-49.095999999999989</v>
      </c>
      <c r="G23">
        <f t="shared" si="11"/>
        <v>40.68480000000001</v>
      </c>
      <c r="H23" s="8">
        <f t="shared" si="11"/>
        <v>-13.305599999999984</v>
      </c>
      <c r="I23">
        <f t="shared" si="11"/>
        <v>2.8421709430404007E-14</v>
      </c>
    </row>
    <row r="24" spans="1:10" x14ac:dyDescent="0.35">
      <c r="B24">
        <v>1.8</v>
      </c>
      <c r="C24" s="7">
        <f t="shared" si="9"/>
        <v>1</v>
      </c>
      <c r="D24">
        <f>C24*$B$24+D19</f>
        <v>-8.3999999999999986</v>
      </c>
      <c r="E24">
        <f t="shared" ref="E24:I24" si="12">D24*$B$24+E19</f>
        <v>27.880000000000003</v>
      </c>
      <c r="F24">
        <f t="shared" si="12"/>
        <v>-45.695999999999991</v>
      </c>
      <c r="G24">
        <f t="shared" si="12"/>
        <v>36.985600000000019</v>
      </c>
      <c r="H24" s="8">
        <f t="shared" si="12"/>
        <v>-11.827199999999962</v>
      </c>
      <c r="I24">
        <f t="shared" si="12"/>
        <v>7.1054273576010019E-14</v>
      </c>
    </row>
    <row r="25" spans="1:10" x14ac:dyDescent="0.35">
      <c r="B25">
        <v>2</v>
      </c>
      <c r="C25" s="7">
        <f t="shared" si="9"/>
        <v>1</v>
      </c>
      <c r="D25">
        <f>C25*$B$25+D19</f>
        <v>-8.1999999999999993</v>
      </c>
      <c r="E25">
        <f t="shared" ref="E25:I25" si="13">D25*$B$25+E19</f>
        <v>26.6</v>
      </c>
      <c r="F25">
        <f t="shared" si="13"/>
        <v>-42.679999999999993</v>
      </c>
      <c r="G25">
        <f t="shared" si="13"/>
        <v>33.878400000000013</v>
      </c>
      <c r="H25" s="8">
        <f t="shared" si="13"/>
        <v>-10.644479999999973</v>
      </c>
      <c r="I25">
        <f t="shared" si="13"/>
        <v>5.6843418860808015E-14</v>
      </c>
    </row>
    <row r="26" spans="1:10" ht="15" thickBot="1" x14ac:dyDescent="0.4">
      <c r="B26">
        <v>2.2000000000000002</v>
      </c>
      <c r="C26" s="9">
        <f t="shared" si="9"/>
        <v>1</v>
      </c>
      <c r="D26" s="10">
        <f>C26*$B$26+D19</f>
        <v>-7.9999999999999991</v>
      </c>
      <c r="E26" s="10">
        <f t="shared" ref="E26:I26" si="14">D26*$B$26+E19</f>
        <v>25.400000000000002</v>
      </c>
      <c r="F26" s="10">
        <f t="shared" si="14"/>
        <v>-39.999999999999986</v>
      </c>
      <c r="G26" s="10">
        <f t="shared" si="14"/>
        <v>31.238400000000027</v>
      </c>
      <c r="H26" s="11">
        <f t="shared" si="14"/>
        <v>-9.676799999999929</v>
      </c>
      <c r="I26">
        <f t="shared" si="14"/>
        <v>1.5631940186722204E-13</v>
      </c>
    </row>
    <row r="30" spans="1:10" x14ac:dyDescent="0.35">
      <c r="A30" t="s">
        <v>9</v>
      </c>
      <c r="C30" cm="1">
        <f t="array" ref="C30:H30">MMULT(D11:I11,C21:H26)</f>
        <v>2.8645833333570181E-2</v>
      </c>
      <c r="D30">
        <v>-0.22656250000090949</v>
      </c>
      <c r="E30">
        <v>0.21614583334303461</v>
      </c>
      <c r="F30">
        <v>2.2253124999870124</v>
      </c>
      <c r="G30">
        <v>0.19105833335106581</v>
      </c>
      <c r="H30">
        <v>-3.0557999999823551</v>
      </c>
    </row>
    <row r="31" spans="1:10" x14ac:dyDescent="0.35">
      <c r="A31" t="s">
        <v>17</v>
      </c>
      <c r="B31">
        <v>1.95</v>
      </c>
      <c r="C31">
        <f>C30</f>
        <v>2.8645833333570181E-2</v>
      </c>
      <c r="D31">
        <f>C31*$B$31+D30</f>
        <v>-0.17070312500044765</v>
      </c>
      <c r="E31">
        <f t="shared" ref="E31:H31" si="15">D31*$B$31+E30</f>
        <v>-0.11672526040783832</v>
      </c>
      <c r="F31">
        <f t="shared" si="15"/>
        <v>1.9976982421917278</v>
      </c>
      <c r="G31">
        <f t="shared" si="15"/>
        <v>4.0865699056249349</v>
      </c>
      <c r="H31">
        <f t="shared" si="15"/>
        <v>4.9130113159862683</v>
      </c>
      <c r="I31" s="1"/>
    </row>
    <row r="32" spans="1:10" x14ac:dyDescent="0.35">
      <c r="A32" t="s">
        <v>15</v>
      </c>
      <c r="B32">
        <v>1.95</v>
      </c>
      <c r="C32">
        <f>C30</f>
        <v>2.8645833333570181E-2</v>
      </c>
      <c r="D32">
        <f>C32*$B$32+D31</f>
        <v>-0.11484374999998581</v>
      </c>
      <c r="E32">
        <f t="shared" ref="E32:G32" si="16">D32*$B$32+E31</f>
        <v>-0.34067057290781066</v>
      </c>
      <c r="F32">
        <f t="shared" si="16"/>
        <v>1.3333906250214969</v>
      </c>
      <c r="G32" s="1">
        <f t="shared" si="16"/>
        <v>6.6866816244168543</v>
      </c>
      <c r="H32" s="1"/>
      <c r="I3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E152-F92C-4F66-AB2A-4CA529210FFD}">
  <dimension ref="A2:Q32"/>
  <sheetViews>
    <sheetView topLeftCell="B1" workbookViewId="0">
      <selection activeCell="J12" sqref="J12"/>
    </sheetView>
  </sheetViews>
  <sheetFormatPr defaultRowHeight="14.5" x14ac:dyDescent="0.35"/>
  <cols>
    <col min="1" max="1" width="19" customWidth="1"/>
  </cols>
  <sheetData>
    <row r="2" spans="2:17" ht="15" thickBot="1" x14ac:dyDescent="0.4">
      <c r="B2" t="s">
        <v>3</v>
      </c>
      <c r="C2" t="s">
        <v>4</v>
      </c>
      <c r="D2" t="s">
        <v>6</v>
      </c>
      <c r="E2" t="s">
        <v>5</v>
      </c>
      <c r="J2" t="s">
        <v>7</v>
      </c>
      <c r="L2" s="16" t="s">
        <v>12</v>
      </c>
      <c r="M2" s="16"/>
      <c r="N2" s="16"/>
      <c r="O2" s="16"/>
      <c r="P2" s="16"/>
      <c r="Q2" s="16"/>
    </row>
    <row r="3" spans="2:17" x14ac:dyDescent="0.35">
      <c r="B3" s="4">
        <v>1.2</v>
      </c>
      <c r="C3" s="6">
        <f>ROUND((B3^2-3*COS(B3)),4)</f>
        <v>0.35289999999999999</v>
      </c>
      <c r="D3">
        <v>1</v>
      </c>
      <c r="E3">
        <f>$B$4-B3</f>
        <v>0.19999999999999996</v>
      </c>
      <c r="F3">
        <f>$B$5-B3</f>
        <v>0.40000000000000013</v>
      </c>
      <c r="G3">
        <f>$B$6-B3</f>
        <v>0.60000000000000009</v>
      </c>
      <c r="H3">
        <f>$B$7-B3</f>
        <v>0.8</v>
      </c>
      <c r="I3">
        <f>$B$8-B3</f>
        <v>1.0000000000000002</v>
      </c>
      <c r="J3">
        <f>$B$9-B3</f>
        <v>1.2</v>
      </c>
    </row>
    <row r="4" spans="2:17" x14ac:dyDescent="0.35">
      <c r="B4" s="7">
        <v>1.4</v>
      </c>
      <c r="C4" s="8">
        <f t="shared" ref="C4:C9" si="0">ROUND((B4^2-3*COS(B4)),4)</f>
        <v>1.4500999999999999</v>
      </c>
      <c r="D4">
        <f>$B$3-B4</f>
        <v>-0.19999999999999996</v>
      </c>
      <c r="E4">
        <v>1</v>
      </c>
      <c r="F4">
        <f>$B$5-B4</f>
        <v>0.20000000000000018</v>
      </c>
      <c r="G4">
        <f>$B$6-B4</f>
        <v>0.40000000000000013</v>
      </c>
      <c r="H4">
        <f>$B$7-B4</f>
        <v>0.60000000000000009</v>
      </c>
      <c r="I4">
        <f>$B$8-B4</f>
        <v>0.80000000000000027</v>
      </c>
      <c r="J4">
        <f>$B$9-B4</f>
        <v>1</v>
      </c>
    </row>
    <row r="5" spans="2:17" x14ac:dyDescent="0.35">
      <c r="B5" s="7">
        <v>1.6</v>
      </c>
      <c r="C5" s="8">
        <f t="shared" si="0"/>
        <v>2.6476000000000002</v>
      </c>
      <c r="D5">
        <f>$B$3-B5</f>
        <v>-0.40000000000000013</v>
      </c>
      <c r="E5">
        <f>$B$4-B5</f>
        <v>-0.20000000000000018</v>
      </c>
      <c r="F5">
        <v>1</v>
      </c>
      <c r="G5">
        <f>$B$6-B5</f>
        <v>0.19999999999999996</v>
      </c>
      <c r="H5">
        <f>$B$7-B5</f>
        <v>0.39999999999999991</v>
      </c>
      <c r="I5">
        <f>$B$8-B5</f>
        <v>0.60000000000000009</v>
      </c>
      <c r="J5">
        <f>$B$9-B5</f>
        <v>0.79999999999999982</v>
      </c>
    </row>
    <row r="6" spans="2:17" x14ac:dyDescent="0.35">
      <c r="B6" s="7">
        <v>1.8</v>
      </c>
      <c r="C6" s="8">
        <f t="shared" si="0"/>
        <v>3.9216000000000002</v>
      </c>
      <c r="D6">
        <f>$B$3-B6</f>
        <v>-0.60000000000000009</v>
      </c>
      <c r="E6">
        <f>$B$4-B6</f>
        <v>-0.40000000000000013</v>
      </c>
      <c r="F6">
        <f>$B$5-B6</f>
        <v>-0.19999999999999996</v>
      </c>
      <c r="G6">
        <v>1</v>
      </c>
      <c r="H6">
        <f>$B$7-B6</f>
        <v>0.19999999999999996</v>
      </c>
      <c r="I6">
        <f>$B$8-B6</f>
        <v>0.40000000000000013</v>
      </c>
      <c r="J6">
        <f>$B$9-B6</f>
        <v>0.59999999999999987</v>
      </c>
    </row>
    <row r="7" spans="2:17" x14ac:dyDescent="0.35">
      <c r="B7" s="7">
        <v>2</v>
      </c>
      <c r="C7" s="8">
        <f t="shared" si="0"/>
        <v>5.2484000000000002</v>
      </c>
      <c r="D7">
        <f>$B$3-B7</f>
        <v>-0.8</v>
      </c>
      <c r="E7">
        <f>$B$4-B7</f>
        <v>-0.60000000000000009</v>
      </c>
      <c r="F7">
        <f>$B$5-B7</f>
        <v>-0.39999999999999991</v>
      </c>
      <c r="G7">
        <f>$B$6-B7</f>
        <v>-0.19999999999999996</v>
      </c>
      <c r="H7">
        <v>1</v>
      </c>
      <c r="I7">
        <f>$B$8-B7</f>
        <v>0.20000000000000018</v>
      </c>
      <c r="J7">
        <f>$B$9-B7</f>
        <v>0.39999999999999991</v>
      </c>
    </row>
    <row r="8" spans="2:17" x14ac:dyDescent="0.35">
      <c r="B8" s="7">
        <v>2.2000000000000002</v>
      </c>
      <c r="C8" s="8">
        <f t="shared" si="0"/>
        <v>6.6055000000000001</v>
      </c>
      <c r="D8">
        <f>$B$3-B8</f>
        <v>-1.0000000000000002</v>
      </c>
      <c r="E8">
        <f>$B$4-B8</f>
        <v>-0.80000000000000027</v>
      </c>
      <c r="F8">
        <f>$B$5-B8</f>
        <v>-0.60000000000000009</v>
      </c>
      <c r="G8">
        <f>$B$6-B8</f>
        <v>-0.40000000000000013</v>
      </c>
      <c r="H8">
        <f>$B$7-B8</f>
        <v>-0.20000000000000018</v>
      </c>
      <c r="I8">
        <v>1</v>
      </c>
      <c r="J8">
        <f>$B$9-B8</f>
        <v>0.19999999999999973</v>
      </c>
    </row>
    <row r="9" spans="2:17" ht="15" thickBot="1" x14ac:dyDescent="0.4">
      <c r="B9" s="9">
        <v>2.4</v>
      </c>
      <c r="C9" s="11">
        <f t="shared" si="0"/>
        <v>7.9722</v>
      </c>
      <c r="D9">
        <f>$B$3-B9</f>
        <v>-1.2</v>
      </c>
      <c r="E9">
        <f>$B$4-B9</f>
        <v>-1</v>
      </c>
      <c r="F9">
        <f>$B$5-B9</f>
        <v>-0.79999999999999982</v>
      </c>
      <c r="G9">
        <f>$B$6-B9</f>
        <v>-0.59999999999999987</v>
      </c>
      <c r="H9">
        <f>$B$7-B9</f>
        <v>-0.39999999999999991</v>
      </c>
      <c r="I9">
        <f>$B$8-B9</f>
        <v>-0.19999999999999973</v>
      </c>
      <c r="J9">
        <v>1</v>
      </c>
    </row>
    <row r="10" spans="2:17" x14ac:dyDescent="0.35">
      <c r="D10" cm="1">
        <f t="array" ref="D10:J10">TRANSPOSE(C3:C9)</f>
        <v>0.35289999999999999</v>
      </c>
      <c r="E10">
        <v>1.4500999999999999</v>
      </c>
      <c r="F10">
        <v>2.6476000000000002</v>
      </c>
      <c r="G10">
        <v>3.9216000000000002</v>
      </c>
      <c r="H10">
        <v>5.2484000000000002</v>
      </c>
      <c r="I10">
        <v>6.6055000000000001</v>
      </c>
      <c r="J10">
        <v>7.9722</v>
      </c>
    </row>
    <row r="11" spans="2:17" x14ac:dyDescent="0.35">
      <c r="C11" s="3" t="s">
        <v>8</v>
      </c>
      <c r="D11" s="1">
        <f>D10/PRODUCT(D3:D9)</f>
        <v>7.658420138888884</v>
      </c>
      <c r="E11" s="1">
        <f>E10/PRODUCT(E3:E9)</f>
        <v>-188.81510416666637</v>
      </c>
      <c r="F11" s="1">
        <f>F10/PRODUCT(F3:F9)</f>
        <v>861.84895833333269</v>
      </c>
      <c r="G11" s="1">
        <f>G10/PRODUCT(G3:G9)</f>
        <v>-1702.0833333333335</v>
      </c>
      <c r="H11" s="1">
        <f>H10/PRODUCT(H3:H9)</f>
        <v>1708.4635416666663</v>
      </c>
      <c r="I11" s="1">
        <f>I10/PRODUCT(I3:I9)</f>
        <v>-860.0911458333328</v>
      </c>
      <c r="J11" s="1">
        <f>J10/PRODUCT(J3:J9)</f>
        <v>173.00781250000031</v>
      </c>
    </row>
    <row r="13" spans="2:17" x14ac:dyDescent="0.35"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</row>
    <row r="14" spans="2:17" x14ac:dyDescent="0.35">
      <c r="B14" cm="1">
        <f t="array" ref="B14:B20">TRANSPOSE(TRANSPOSE(B3:B9))</f>
        <v>1.2</v>
      </c>
      <c r="C14" cm="1">
        <f t="array" ref="C14:J14">D13:K13-B14*C13:J13</f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-1.2</v>
      </c>
    </row>
    <row r="15" spans="2:17" x14ac:dyDescent="0.35">
      <c r="B15">
        <v>1.4</v>
      </c>
      <c r="C15" cm="1">
        <f t="array" ref="C15:J15">D14:K14-B15*C14:J14</f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-2.5999999999999996</v>
      </c>
      <c r="J15">
        <v>1.68</v>
      </c>
    </row>
    <row r="16" spans="2:17" x14ac:dyDescent="0.35">
      <c r="B16">
        <v>1.6</v>
      </c>
      <c r="C16" cm="1">
        <f t="array" ref="C16:J16">D15:K15-B16*C15:J15</f>
        <v>0</v>
      </c>
      <c r="D16">
        <v>0</v>
      </c>
      <c r="E16">
        <v>0</v>
      </c>
      <c r="F16">
        <v>0</v>
      </c>
      <c r="G16">
        <v>1</v>
      </c>
      <c r="H16">
        <v>-4.1999999999999993</v>
      </c>
      <c r="I16">
        <v>5.839999999999999</v>
      </c>
      <c r="J16">
        <v>-2.6880000000000002</v>
      </c>
    </row>
    <row r="17" spans="1:12" x14ac:dyDescent="0.35">
      <c r="B17">
        <v>1.8</v>
      </c>
      <c r="C17" cm="1">
        <f t="array" ref="C17:J17">D16:K16-B17*C16:J16</f>
        <v>0</v>
      </c>
      <c r="D17">
        <v>0</v>
      </c>
      <c r="E17">
        <v>0</v>
      </c>
      <c r="F17">
        <v>1</v>
      </c>
      <c r="G17">
        <v>-5.9999999999999991</v>
      </c>
      <c r="H17">
        <v>13.399999999999999</v>
      </c>
      <c r="I17">
        <v>-13.2</v>
      </c>
      <c r="J17">
        <v>4.8384</v>
      </c>
    </row>
    <row r="18" spans="1:12" x14ac:dyDescent="0.35">
      <c r="B18">
        <v>2</v>
      </c>
      <c r="C18" cm="1">
        <f t="array" ref="C18:J18">D17:K17-B18*C17:J17</f>
        <v>0</v>
      </c>
      <c r="D18">
        <v>0</v>
      </c>
      <c r="E18">
        <v>1</v>
      </c>
      <c r="F18">
        <v>-7.9999999999999991</v>
      </c>
      <c r="G18">
        <v>25.4</v>
      </c>
      <c r="H18">
        <v>-40</v>
      </c>
      <c r="I18">
        <v>31.238399999999999</v>
      </c>
      <c r="J18">
        <v>-9.6768000000000001</v>
      </c>
    </row>
    <row r="19" spans="1:12" x14ac:dyDescent="0.35">
      <c r="B19">
        <v>2.2000000000000002</v>
      </c>
      <c r="C19" cm="1">
        <f t="array" ref="C19:J19">D18:K18-B19*C18:J18</f>
        <v>0</v>
      </c>
      <c r="D19">
        <v>1</v>
      </c>
      <c r="E19">
        <v>-10.199999999999999</v>
      </c>
      <c r="F19">
        <v>43</v>
      </c>
      <c r="G19">
        <v>-95.88</v>
      </c>
      <c r="H19">
        <v>119.2384</v>
      </c>
      <c r="I19">
        <v>-78.40128</v>
      </c>
      <c r="J19">
        <v>21.288960000000003</v>
      </c>
    </row>
    <row r="20" spans="1:12" ht="15" thickBot="1" x14ac:dyDescent="0.4">
      <c r="B20">
        <v>2.4</v>
      </c>
      <c r="C20" s="3" cm="1">
        <f t="array" ref="C20:J20">D19:K19-B20*C19:J19</f>
        <v>1</v>
      </c>
      <c r="D20" s="3">
        <v>-12.6</v>
      </c>
      <c r="E20" s="3">
        <v>67.47999999999999</v>
      </c>
      <c r="F20" s="3">
        <v>-199.07999999999998</v>
      </c>
      <c r="G20" s="3">
        <v>349.35039999999998</v>
      </c>
      <c r="H20" s="3">
        <v>-364.57343999999995</v>
      </c>
      <c r="I20" s="3">
        <v>209.452032</v>
      </c>
      <c r="J20" s="3">
        <v>-51.093504000000003</v>
      </c>
      <c r="L20" s="3"/>
    </row>
    <row r="21" spans="1:12" x14ac:dyDescent="0.35">
      <c r="A21" s="13" t="s">
        <v>19</v>
      </c>
      <c r="B21" cm="1">
        <f t="array" ref="B21:B27">TRANSPOSE(TRANSPOSE(B3:B9))</f>
        <v>1.2</v>
      </c>
      <c r="C21" s="4">
        <f>C$20</f>
        <v>1</v>
      </c>
      <c r="D21" s="5">
        <f>C21*$B$21+D20</f>
        <v>-11.4</v>
      </c>
      <c r="E21" s="5">
        <f t="shared" ref="E21:J21" si="1">D21*$B$21+E20</f>
        <v>53.79999999999999</v>
      </c>
      <c r="F21" s="5">
        <f t="shared" si="1"/>
        <v>-134.51999999999998</v>
      </c>
      <c r="G21" s="5">
        <f t="shared" si="1"/>
        <v>187.9264</v>
      </c>
      <c r="H21" s="5">
        <f t="shared" si="1"/>
        <v>-139.06175999999996</v>
      </c>
      <c r="I21" s="6">
        <f t="shared" si="1"/>
        <v>42.577920000000063</v>
      </c>
      <c r="J21">
        <f t="shared" si="1"/>
        <v>7.1054273576010019E-14</v>
      </c>
    </row>
    <row r="22" spans="1:12" x14ac:dyDescent="0.35">
      <c r="B22">
        <v>1.4</v>
      </c>
      <c r="C22" s="7">
        <f>C$20</f>
        <v>1</v>
      </c>
      <c r="D22">
        <f>C22*$B$22+D20</f>
        <v>-11.2</v>
      </c>
      <c r="E22">
        <f t="shared" ref="E22:J22" si="2">D22*$B$22+E20</f>
        <v>51.79999999999999</v>
      </c>
      <c r="F22">
        <f t="shared" si="2"/>
        <v>-126.56</v>
      </c>
      <c r="G22">
        <f t="shared" si="2"/>
        <v>172.16639999999998</v>
      </c>
      <c r="H22">
        <f t="shared" si="2"/>
        <v>-123.54048</v>
      </c>
      <c r="I22" s="8">
        <f t="shared" si="2"/>
        <v>36.495360000000005</v>
      </c>
      <c r="J22">
        <f t="shared" si="2"/>
        <v>0</v>
      </c>
    </row>
    <row r="23" spans="1:12" x14ac:dyDescent="0.35">
      <c r="B23">
        <v>1.6</v>
      </c>
      <c r="C23" s="7">
        <f t="shared" ref="C23:C27" si="3">C$20</f>
        <v>1</v>
      </c>
      <c r="D23">
        <f>C23*$B$23+D$20</f>
        <v>-11</v>
      </c>
      <c r="E23">
        <f t="shared" ref="E23:J23" si="4">D23*$B$23+E$20</f>
        <v>49.879999999999988</v>
      </c>
      <c r="F23">
        <f t="shared" si="4"/>
        <v>-119.27199999999999</v>
      </c>
      <c r="G23">
        <f t="shared" si="4"/>
        <v>158.51519999999999</v>
      </c>
      <c r="H23">
        <f t="shared" si="4"/>
        <v>-110.94911999999994</v>
      </c>
      <c r="I23" s="8">
        <f t="shared" si="4"/>
        <v>31.933440000000104</v>
      </c>
      <c r="J23">
        <f t="shared" si="4"/>
        <v>1.6342482922482304E-13</v>
      </c>
    </row>
    <row r="24" spans="1:12" x14ac:dyDescent="0.35">
      <c r="B24">
        <v>1.8</v>
      </c>
      <c r="C24" s="7">
        <f t="shared" si="3"/>
        <v>1</v>
      </c>
      <c r="D24">
        <f>C24*$B$24+D$20</f>
        <v>-10.799999999999999</v>
      </c>
      <c r="E24">
        <f t="shared" ref="E24:J24" si="5">D24*$B$24+E$20</f>
        <v>48.039999999999992</v>
      </c>
      <c r="F24">
        <f t="shared" si="5"/>
        <v>-112.60799999999999</v>
      </c>
      <c r="G24">
        <f t="shared" si="5"/>
        <v>146.65600000000001</v>
      </c>
      <c r="H24">
        <f t="shared" si="5"/>
        <v>-100.5926399999999</v>
      </c>
      <c r="I24" s="8">
        <f t="shared" si="5"/>
        <v>28.385280000000165</v>
      </c>
      <c r="J24">
        <f t="shared" si="5"/>
        <v>2.9842794901924208E-13</v>
      </c>
    </row>
    <row r="25" spans="1:12" x14ac:dyDescent="0.35">
      <c r="B25">
        <v>2</v>
      </c>
      <c r="C25" s="7">
        <f t="shared" si="3"/>
        <v>1</v>
      </c>
      <c r="D25">
        <f>C25*$B$25+D$20</f>
        <v>-10.6</v>
      </c>
      <c r="E25">
        <f t="shared" ref="E25:J25" si="6">D25*$B$25+E$20</f>
        <v>46.279999999999987</v>
      </c>
      <c r="F25">
        <f t="shared" si="6"/>
        <v>-106.52000000000001</v>
      </c>
      <c r="G25">
        <f t="shared" si="6"/>
        <v>136.31039999999996</v>
      </c>
      <c r="H25">
        <f t="shared" si="6"/>
        <v>-91.952640000000031</v>
      </c>
      <c r="I25" s="8">
        <f t="shared" si="6"/>
        <v>25.546751999999941</v>
      </c>
      <c r="J25">
        <f t="shared" si="6"/>
        <v>-1.2079226507921703E-13</v>
      </c>
    </row>
    <row r="26" spans="1:12" x14ac:dyDescent="0.35">
      <c r="B26">
        <v>2.2000000000000002</v>
      </c>
      <c r="C26" s="7">
        <f t="shared" si="3"/>
        <v>1</v>
      </c>
      <c r="D26">
        <f>C26*$B$26+D$20</f>
        <v>-10.399999999999999</v>
      </c>
      <c r="E26">
        <f t="shared" ref="E26:J26" si="7">D26*$B$26+E$20</f>
        <v>44.599999999999994</v>
      </c>
      <c r="F26">
        <f t="shared" si="7"/>
        <v>-100.96</v>
      </c>
      <c r="G26">
        <f t="shared" si="7"/>
        <v>127.23839999999998</v>
      </c>
      <c r="H26">
        <f t="shared" si="7"/>
        <v>-84.648959999999988</v>
      </c>
      <c r="I26" s="8">
        <f t="shared" si="7"/>
        <v>23.224320000000006</v>
      </c>
      <c r="J26">
        <f t="shared" si="7"/>
        <v>0</v>
      </c>
    </row>
    <row r="27" spans="1:12" ht="15" thickBot="1" x14ac:dyDescent="0.4">
      <c r="B27">
        <v>2.4</v>
      </c>
      <c r="C27" s="9">
        <f t="shared" si="3"/>
        <v>1</v>
      </c>
      <c r="D27" s="10">
        <f>C27*$B$27+D$20</f>
        <v>-10.199999999999999</v>
      </c>
      <c r="E27" s="10">
        <f t="shared" ref="E27:J27" si="8">D27*$B$27+E$20</f>
        <v>42.999999999999993</v>
      </c>
      <c r="F27" s="10">
        <f t="shared" si="8"/>
        <v>-95.88000000000001</v>
      </c>
      <c r="G27" s="10">
        <f t="shared" si="8"/>
        <v>119.23839999999996</v>
      </c>
      <c r="H27" s="10">
        <f t="shared" si="8"/>
        <v>-78.401280000000042</v>
      </c>
      <c r="I27" s="11">
        <f t="shared" si="8"/>
        <v>21.288959999999918</v>
      </c>
      <c r="J27">
        <f t="shared" si="8"/>
        <v>-1.9895196601282805E-13</v>
      </c>
    </row>
    <row r="30" spans="1:12" x14ac:dyDescent="0.35">
      <c r="A30" t="s">
        <v>9</v>
      </c>
      <c r="C30" cm="1">
        <f t="array" ref="C30:I30">MMULT(D11:J11,C21:I27)</f>
        <v>-1.0850694444485498E-2</v>
      </c>
      <c r="D30">
        <v>0.13932291666856145</v>
      </c>
      <c r="E30">
        <v>-0.69314236111949867</v>
      </c>
      <c r="F30">
        <v>1.2565104166533274</v>
      </c>
      <c r="G30">
        <v>0.93149305546467076</v>
      </c>
      <c r="H30">
        <v>1.0417666664961871</v>
      </c>
      <c r="I30">
        <v>-3.2868000003145426</v>
      </c>
    </row>
    <row r="31" spans="1:12" x14ac:dyDescent="0.35">
      <c r="A31" t="s">
        <v>17</v>
      </c>
      <c r="B31">
        <v>1.95</v>
      </c>
      <c r="C31">
        <f>C30</f>
        <v>-1.0850694444485498E-2</v>
      </c>
      <c r="D31">
        <f>C31*$B$31+D30</f>
        <v>0.11816406250181473</v>
      </c>
      <c r="E31">
        <f t="shared" ref="E31:G31" si="9">D31*$B$31+E30</f>
        <v>-0.46272243924095996</v>
      </c>
      <c r="F31">
        <f t="shared" si="9"/>
        <v>0.35420166013345555</v>
      </c>
      <c r="G31">
        <f t="shared" si="9"/>
        <v>1.6221862927249091</v>
      </c>
      <c r="H31">
        <f>G31*$B$31+H30</f>
        <v>4.2050299373097602</v>
      </c>
      <c r="I31" s="1">
        <f>H31*$B$31+I30</f>
        <v>4.913008377439489</v>
      </c>
    </row>
    <row r="32" spans="1:12" x14ac:dyDescent="0.35">
      <c r="A32" t="s">
        <v>15</v>
      </c>
      <c r="B32">
        <v>1.95</v>
      </c>
      <c r="C32">
        <f>C30</f>
        <v>-1.0850694444485498E-2</v>
      </c>
      <c r="D32">
        <f>C32*$B$32+D31</f>
        <v>9.7005208335068011E-2</v>
      </c>
      <c r="E32">
        <f t="shared" ref="E32:G32" si="10">D32*$B$32+E31</f>
        <v>-0.27356228298757734</v>
      </c>
      <c r="F32">
        <f t="shared" si="10"/>
        <v>-0.17924479169232022</v>
      </c>
      <c r="G32">
        <f t="shared" si="10"/>
        <v>1.2726589489248847</v>
      </c>
      <c r="H32" s="1">
        <f>G32*$B$32+H31</f>
        <v>6.6867148877132854</v>
      </c>
      <c r="I32" s="1"/>
    </row>
  </sheetData>
  <mergeCells count="1">
    <mergeCell ref="L2:Q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1AC4-3062-4B5C-875F-BB35788D6F57}">
  <dimension ref="A2:L37"/>
  <sheetViews>
    <sheetView topLeftCell="A17" workbookViewId="0">
      <selection activeCell="C35" sqref="C35"/>
    </sheetView>
  </sheetViews>
  <sheetFormatPr defaultRowHeight="14.5" x14ac:dyDescent="0.35"/>
  <cols>
    <col min="1" max="1" width="14.26953125" customWidth="1"/>
  </cols>
  <sheetData>
    <row r="2" spans="2:12" ht="15" thickBot="1" x14ac:dyDescent="0.4">
      <c r="B2" t="s">
        <v>3</v>
      </c>
      <c r="C2" t="s">
        <v>4</v>
      </c>
      <c r="E2" t="s">
        <v>5</v>
      </c>
      <c r="F2" t="s">
        <v>10</v>
      </c>
      <c r="L2" t="s">
        <v>11</v>
      </c>
    </row>
    <row r="3" spans="2:12" x14ac:dyDescent="0.35">
      <c r="B3" s="4">
        <v>1.2</v>
      </c>
      <c r="C3" s="6">
        <f>ROUND((B3^2-3*COS(B3)),4)</f>
        <v>0.35289999999999999</v>
      </c>
      <c r="E3">
        <v>1</v>
      </c>
      <c r="F3">
        <f>$B$4-B3</f>
        <v>0.19999999999999996</v>
      </c>
      <c r="G3">
        <f>$B$5-B3</f>
        <v>0.40000000000000013</v>
      </c>
      <c r="H3">
        <f>$B$6-B3</f>
        <v>0.60000000000000009</v>
      </c>
      <c r="I3">
        <f>$B$7-B3</f>
        <v>0.8</v>
      </c>
      <c r="J3">
        <f>$B$8-B3</f>
        <v>1.0000000000000002</v>
      </c>
      <c r="K3">
        <f>$B$9-B3</f>
        <v>1.2</v>
      </c>
      <c r="L3">
        <f>$B$10-B3</f>
        <v>1.4000000000000001</v>
      </c>
    </row>
    <row r="4" spans="2:12" x14ac:dyDescent="0.35">
      <c r="B4" s="7">
        <v>1.4</v>
      </c>
      <c r="C4" s="8">
        <f t="shared" ref="C4:C10" si="0">ROUND((B4^2-3*COS(B4)),4)</f>
        <v>1.4500999999999999</v>
      </c>
      <c r="E4">
        <f>$B$3-B4</f>
        <v>-0.19999999999999996</v>
      </c>
      <c r="F4">
        <v>1</v>
      </c>
      <c r="G4">
        <f t="shared" ref="G4:G10" si="1">$B$5-B4</f>
        <v>0.20000000000000018</v>
      </c>
      <c r="H4">
        <f t="shared" ref="H4:H10" si="2">$B$6-B4</f>
        <v>0.40000000000000013</v>
      </c>
      <c r="I4">
        <f t="shared" ref="I4:I10" si="3">$B$7-B4</f>
        <v>0.60000000000000009</v>
      </c>
      <c r="J4">
        <f t="shared" ref="J4:J10" si="4">$B$8-B4</f>
        <v>0.80000000000000027</v>
      </c>
      <c r="K4">
        <f t="shared" ref="K4:K10" si="5">$B$9-B4</f>
        <v>1</v>
      </c>
      <c r="L4">
        <f t="shared" ref="L4:L9" si="6">$B$10-B4</f>
        <v>1.2000000000000002</v>
      </c>
    </row>
    <row r="5" spans="2:12" x14ac:dyDescent="0.35">
      <c r="B5" s="7">
        <v>1.6</v>
      </c>
      <c r="C5" s="8">
        <f t="shared" si="0"/>
        <v>2.6476000000000002</v>
      </c>
      <c r="E5">
        <f t="shared" ref="E5:E10" si="7">$B$3-B5</f>
        <v>-0.40000000000000013</v>
      </c>
      <c r="F5">
        <f t="shared" ref="F5:F10" si="8">$B$4-B5</f>
        <v>-0.20000000000000018</v>
      </c>
      <c r="G5">
        <v>1</v>
      </c>
      <c r="H5">
        <f t="shared" si="2"/>
        <v>0.19999999999999996</v>
      </c>
      <c r="I5">
        <f t="shared" si="3"/>
        <v>0.39999999999999991</v>
      </c>
      <c r="J5">
        <f t="shared" si="4"/>
        <v>0.60000000000000009</v>
      </c>
      <c r="K5">
        <f t="shared" si="5"/>
        <v>0.79999999999999982</v>
      </c>
      <c r="L5">
        <f t="shared" si="6"/>
        <v>1</v>
      </c>
    </row>
    <row r="6" spans="2:12" x14ac:dyDescent="0.35">
      <c r="B6" s="7">
        <v>1.8</v>
      </c>
      <c r="C6" s="8">
        <f t="shared" si="0"/>
        <v>3.9216000000000002</v>
      </c>
      <c r="E6">
        <f t="shared" si="7"/>
        <v>-0.60000000000000009</v>
      </c>
      <c r="F6">
        <f t="shared" si="8"/>
        <v>-0.40000000000000013</v>
      </c>
      <c r="G6">
        <f t="shared" si="1"/>
        <v>-0.19999999999999996</v>
      </c>
      <c r="H6">
        <v>1</v>
      </c>
      <c r="I6">
        <f t="shared" si="3"/>
        <v>0.19999999999999996</v>
      </c>
      <c r="J6">
        <f t="shared" si="4"/>
        <v>0.40000000000000013</v>
      </c>
      <c r="K6">
        <f t="shared" si="5"/>
        <v>0.59999999999999987</v>
      </c>
      <c r="L6">
        <f t="shared" si="6"/>
        <v>0.8</v>
      </c>
    </row>
    <row r="7" spans="2:12" x14ac:dyDescent="0.35">
      <c r="B7" s="7">
        <v>2</v>
      </c>
      <c r="C7" s="8">
        <f t="shared" si="0"/>
        <v>5.2484000000000002</v>
      </c>
      <c r="E7">
        <f t="shared" si="7"/>
        <v>-0.8</v>
      </c>
      <c r="F7">
        <f t="shared" si="8"/>
        <v>-0.60000000000000009</v>
      </c>
      <c r="G7">
        <f t="shared" si="1"/>
        <v>-0.39999999999999991</v>
      </c>
      <c r="H7">
        <f t="shared" si="2"/>
        <v>-0.19999999999999996</v>
      </c>
      <c r="I7">
        <v>1</v>
      </c>
      <c r="J7">
        <f t="shared" si="4"/>
        <v>0.20000000000000018</v>
      </c>
      <c r="K7">
        <f t="shared" si="5"/>
        <v>0.39999999999999991</v>
      </c>
      <c r="L7">
        <f t="shared" si="6"/>
        <v>0.60000000000000009</v>
      </c>
    </row>
    <row r="8" spans="2:12" x14ac:dyDescent="0.35">
      <c r="B8" s="7">
        <v>2.2000000000000002</v>
      </c>
      <c r="C8" s="8">
        <f t="shared" si="0"/>
        <v>6.6055000000000001</v>
      </c>
      <c r="E8">
        <f t="shared" si="7"/>
        <v>-1.0000000000000002</v>
      </c>
      <c r="F8">
        <f t="shared" si="8"/>
        <v>-0.80000000000000027</v>
      </c>
      <c r="G8">
        <f t="shared" si="1"/>
        <v>-0.60000000000000009</v>
      </c>
      <c r="H8">
        <f t="shared" si="2"/>
        <v>-0.40000000000000013</v>
      </c>
      <c r="I8">
        <f t="shared" si="3"/>
        <v>-0.20000000000000018</v>
      </c>
      <c r="J8">
        <v>1</v>
      </c>
      <c r="K8">
        <f t="shared" si="5"/>
        <v>0.19999999999999973</v>
      </c>
      <c r="L8">
        <f t="shared" si="6"/>
        <v>0.39999999999999991</v>
      </c>
    </row>
    <row r="9" spans="2:12" x14ac:dyDescent="0.35">
      <c r="B9" s="7">
        <v>2.4</v>
      </c>
      <c r="C9" s="8">
        <f t="shared" si="0"/>
        <v>7.9722</v>
      </c>
      <c r="E9">
        <f t="shared" si="7"/>
        <v>-1.2</v>
      </c>
      <c r="F9">
        <f t="shared" si="8"/>
        <v>-1</v>
      </c>
      <c r="G9">
        <f t="shared" si="1"/>
        <v>-0.79999999999999982</v>
      </c>
      <c r="H9">
        <f t="shared" si="2"/>
        <v>-0.59999999999999987</v>
      </c>
      <c r="I9">
        <f t="shared" si="3"/>
        <v>-0.39999999999999991</v>
      </c>
      <c r="J9">
        <f t="shared" si="4"/>
        <v>-0.19999999999999973</v>
      </c>
      <c r="K9">
        <v>1</v>
      </c>
      <c r="L9">
        <f t="shared" si="6"/>
        <v>0.20000000000000018</v>
      </c>
    </row>
    <row r="10" spans="2:12" ht="15" thickBot="1" x14ac:dyDescent="0.4">
      <c r="B10" s="9">
        <v>2.6</v>
      </c>
      <c r="C10" s="11">
        <f t="shared" si="0"/>
        <v>9.3307000000000002</v>
      </c>
      <c r="E10">
        <f t="shared" si="7"/>
        <v>-1.4000000000000001</v>
      </c>
      <c r="F10">
        <f t="shared" si="8"/>
        <v>-1.2000000000000002</v>
      </c>
      <c r="G10">
        <f t="shared" si="1"/>
        <v>-1</v>
      </c>
      <c r="H10">
        <f t="shared" si="2"/>
        <v>-0.8</v>
      </c>
      <c r="I10">
        <f t="shared" si="3"/>
        <v>-0.60000000000000009</v>
      </c>
      <c r="J10">
        <f t="shared" si="4"/>
        <v>-0.39999999999999991</v>
      </c>
      <c r="K10">
        <f t="shared" si="5"/>
        <v>-0.20000000000000018</v>
      </c>
      <c r="L10">
        <v>1</v>
      </c>
    </row>
    <row r="12" spans="2:12" x14ac:dyDescent="0.35">
      <c r="E12" cm="1">
        <f t="array" ref="E12:L12">TRANSPOSE(C3:C10)</f>
        <v>0.35289999999999999</v>
      </c>
      <c r="F12">
        <v>1.4500999999999999</v>
      </c>
      <c r="G12">
        <v>2.6476000000000002</v>
      </c>
      <c r="H12">
        <v>3.9216000000000002</v>
      </c>
      <c r="I12">
        <v>5.2484000000000002</v>
      </c>
      <c r="J12">
        <v>6.6055000000000001</v>
      </c>
      <c r="K12">
        <v>7.9722</v>
      </c>
      <c r="L12">
        <v>9.3307000000000002</v>
      </c>
    </row>
    <row r="13" spans="2:12" x14ac:dyDescent="0.35">
      <c r="D13" s="12" t="s">
        <v>8</v>
      </c>
      <c r="E13" s="1">
        <f>E12/PRODUCT(E3:E10)</f>
        <v>-5.4703000992063444</v>
      </c>
      <c r="F13" s="1">
        <f t="shared" ref="F13:L13" si="9">F12/PRODUCT(F3:F10)</f>
        <v>157.3459201388886</v>
      </c>
      <c r="G13" s="1">
        <f t="shared" si="9"/>
        <v>-861.84895833333269</v>
      </c>
      <c r="H13" s="1">
        <f t="shared" si="9"/>
        <v>2127.6041666666665</v>
      </c>
      <c r="I13" s="1">
        <f t="shared" si="9"/>
        <v>-2847.4392361111099</v>
      </c>
      <c r="J13" s="1">
        <f t="shared" si="9"/>
        <v>2150.2278645833326</v>
      </c>
      <c r="K13" s="1">
        <f t="shared" si="9"/>
        <v>-865.0390625000008</v>
      </c>
      <c r="L13" s="1">
        <f t="shared" si="9"/>
        <v>144.63510664682525</v>
      </c>
    </row>
    <row r="15" spans="2:12" x14ac:dyDescent="0.35"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</row>
    <row r="16" spans="2:12" x14ac:dyDescent="0.35">
      <c r="B16" cm="1">
        <f t="array" ref="B16:B23">TRANSPOSE(TRANSPOSE(B3:B10))</f>
        <v>1.2</v>
      </c>
      <c r="C16" cm="1">
        <f t="array" ref="C16:K16">D15:L15-B16*C15:K15</f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-1.2</v>
      </c>
    </row>
    <row r="17" spans="1:11" x14ac:dyDescent="0.35">
      <c r="B17">
        <v>1.4</v>
      </c>
      <c r="C17" cm="1">
        <f t="array" ref="C17:K17">D16:L16-B17*C16:K16</f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-2.5999999999999996</v>
      </c>
      <c r="K17">
        <v>1.68</v>
      </c>
    </row>
    <row r="18" spans="1:11" x14ac:dyDescent="0.35">
      <c r="B18">
        <v>1.6</v>
      </c>
      <c r="C18" cm="1">
        <f t="array" ref="C18:K18">D17:L17-B18*C17:K17</f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-4.1999999999999993</v>
      </c>
      <c r="J18">
        <v>5.839999999999999</v>
      </c>
      <c r="K18">
        <v>-2.6880000000000002</v>
      </c>
    </row>
    <row r="19" spans="1:11" x14ac:dyDescent="0.35">
      <c r="B19">
        <v>1.8</v>
      </c>
      <c r="C19" cm="1">
        <f t="array" ref="C19:K19">D18:L18-B19*C18:K18</f>
        <v>0</v>
      </c>
      <c r="D19">
        <v>0</v>
      </c>
      <c r="E19">
        <v>0</v>
      </c>
      <c r="F19">
        <v>0</v>
      </c>
      <c r="G19">
        <v>1</v>
      </c>
      <c r="H19">
        <v>-5.9999999999999991</v>
      </c>
      <c r="I19">
        <v>13.399999999999999</v>
      </c>
      <c r="J19">
        <v>-13.2</v>
      </c>
      <c r="K19">
        <v>4.8384</v>
      </c>
    </row>
    <row r="20" spans="1:11" x14ac:dyDescent="0.35">
      <c r="B20">
        <v>2</v>
      </c>
      <c r="C20" cm="1">
        <f t="array" ref="C20:K20">D19:L19-B20*C19:K19</f>
        <v>0</v>
      </c>
      <c r="D20">
        <v>0</v>
      </c>
      <c r="E20">
        <v>0</v>
      </c>
      <c r="F20">
        <v>1</v>
      </c>
      <c r="G20">
        <v>-7.9999999999999991</v>
      </c>
      <c r="H20">
        <v>25.4</v>
      </c>
      <c r="I20">
        <v>-40</v>
      </c>
      <c r="J20">
        <v>31.238399999999999</v>
      </c>
      <c r="K20">
        <v>-9.6768000000000001</v>
      </c>
    </row>
    <row r="21" spans="1:11" x14ac:dyDescent="0.35">
      <c r="B21">
        <v>2.2000000000000002</v>
      </c>
      <c r="C21" cm="1">
        <f t="array" ref="C21:K21">D20:L20-B21*C20:K20</f>
        <v>0</v>
      </c>
      <c r="D21">
        <v>0</v>
      </c>
      <c r="E21">
        <v>1</v>
      </c>
      <c r="F21">
        <v>-10.199999999999999</v>
      </c>
      <c r="G21">
        <v>43</v>
      </c>
      <c r="H21">
        <v>-95.88</v>
      </c>
      <c r="I21">
        <v>119.2384</v>
      </c>
      <c r="J21">
        <v>-78.40128</v>
      </c>
      <c r="K21">
        <v>21.288960000000003</v>
      </c>
    </row>
    <row r="22" spans="1:11" x14ac:dyDescent="0.35">
      <c r="B22">
        <v>2.4</v>
      </c>
      <c r="C22" cm="1">
        <f t="array" ref="C22:K22">D21:L21-B22*C21:K21</f>
        <v>0</v>
      </c>
      <c r="D22">
        <v>1</v>
      </c>
      <c r="E22">
        <v>-12.6</v>
      </c>
      <c r="F22">
        <v>67.47999999999999</v>
      </c>
      <c r="G22">
        <v>-199.07999999999998</v>
      </c>
      <c r="H22">
        <v>349.35039999999998</v>
      </c>
      <c r="I22">
        <v>-364.57343999999995</v>
      </c>
      <c r="J22">
        <v>209.452032</v>
      </c>
      <c r="K22">
        <v>-51.093504000000003</v>
      </c>
    </row>
    <row r="23" spans="1:11" ht="15" thickBot="1" x14ac:dyDescent="0.4">
      <c r="B23">
        <v>2.6</v>
      </c>
      <c r="C23" s="3" cm="1">
        <f t="array" ref="C23:K23">D22:L22-B23*C22:K22</f>
        <v>1</v>
      </c>
      <c r="D23" s="3">
        <v>-15.2</v>
      </c>
      <c r="E23" s="3">
        <v>100.23999999999998</v>
      </c>
      <c r="F23" s="3">
        <v>-374.52799999999996</v>
      </c>
      <c r="G23" s="3">
        <v>866.95839999999998</v>
      </c>
      <c r="H23" s="3">
        <v>-1272.8844799999999</v>
      </c>
      <c r="I23" s="3">
        <v>1157.3429759999999</v>
      </c>
      <c r="J23" s="3">
        <v>-595.66878720000011</v>
      </c>
      <c r="K23" s="3">
        <v>132.8431104</v>
      </c>
    </row>
    <row r="24" spans="1:11" x14ac:dyDescent="0.35">
      <c r="A24" s="14" t="s">
        <v>19</v>
      </c>
      <c r="B24" cm="1">
        <f t="array" ref="B24:B31">TRANSPOSE(TRANSPOSE(B3:B10))</f>
        <v>1.2</v>
      </c>
      <c r="C24" s="4">
        <f>$C$23</f>
        <v>1</v>
      </c>
      <c r="D24" s="5">
        <f>D23+$B$24*C24</f>
        <v>-14</v>
      </c>
      <c r="E24" s="5">
        <f t="shared" ref="E24:K24" si="10">E23+$B$24*D24</f>
        <v>83.439999999999984</v>
      </c>
      <c r="F24" s="5">
        <f t="shared" si="10"/>
        <v>-274.39999999999998</v>
      </c>
      <c r="G24" s="5">
        <f t="shared" si="10"/>
        <v>537.67840000000001</v>
      </c>
      <c r="H24" s="5">
        <f t="shared" si="10"/>
        <v>-627.67039999999997</v>
      </c>
      <c r="I24" s="5">
        <f t="shared" si="10"/>
        <v>404.13849599999992</v>
      </c>
      <c r="J24" s="6">
        <f t="shared" si="10"/>
        <v>-110.70259200000021</v>
      </c>
      <c r="K24">
        <f t="shared" si="10"/>
        <v>-2.5579538487363607E-13</v>
      </c>
    </row>
    <row r="25" spans="1:11" x14ac:dyDescent="0.35">
      <c r="B25">
        <v>1.4</v>
      </c>
      <c r="C25" s="7">
        <f t="shared" ref="C25:C31" si="11">$C$23</f>
        <v>1</v>
      </c>
      <c r="D25">
        <f>D23+C25*$B$25</f>
        <v>-13.799999999999999</v>
      </c>
      <c r="E25">
        <f t="shared" ref="E25:K25" si="12">E23+D25*$B$25</f>
        <v>80.919999999999987</v>
      </c>
      <c r="F25">
        <f t="shared" si="12"/>
        <v>-261.24</v>
      </c>
      <c r="G25">
        <f t="shared" si="12"/>
        <v>501.22239999999999</v>
      </c>
      <c r="H25">
        <f t="shared" si="12"/>
        <v>-571.17312000000004</v>
      </c>
      <c r="I25">
        <f t="shared" si="12"/>
        <v>357.70060799999987</v>
      </c>
      <c r="J25" s="8">
        <f t="shared" si="12"/>
        <v>-94.887936000000309</v>
      </c>
      <c r="K25">
        <f t="shared" si="12"/>
        <v>-4.2632564145606011E-13</v>
      </c>
    </row>
    <row r="26" spans="1:11" x14ac:dyDescent="0.35">
      <c r="B26">
        <v>1.6</v>
      </c>
      <c r="C26" s="7">
        <f t="shared" si="11"/>
        <v>1</v>
      </c>
      <c r="D26">
        <f>D23+$B$26*C26</f>
        <v>-13.6</v>
      </c>
      <c r="E26">
        <f t="shared" ref="E26:K26" si="13">E23+$B$26*D26</f>
        <v>78.479999999999976</v>
      </c>
      <c r="F26">
        <f t="shared" si="13"/>
        <v>-248.95999999999998</v>
      </c>
      <c r="G26">
        <f t="shared" si="13"/>
        <v>468.62239999999997</v>
      </c>
      <c r="H26">
        <f t="shared" si="13"/>
        <v>-523.08863999999994</v>
      </c>
      <c r="I26">
        <f t="shared" si="13"/>
        <v>320.40115199999991</v>
      </c>
      <c r="J26" s="8">
        <f t="shared" si="13"/>
        <v>-83.026944000000185</v>
      </c>
      <c r="K26">
        <f t="shared" si="13"/>
        <v>-3.1263880373444408E-13</v>
      </c>
    </row>
    <row r="27" spans="1:11" x14ac:dyDescent="0.35">
      <c r="B27">
        <v>1.8</v>
      </c>
      <c r="C27" s="7">
        <f t="shared" si="11"/>
        <v>1</v>
      </c>
      <c r="D27">
        <f>D23+$B$27*C27</f>
        <v>-13.399999999999999</v>
      </c>
      <c r="E27">
        <f t="shared" ref="E27:K27" si="14">E23+$B$27*D27</f>
        <v>76.119999999999976</v>
      </c>
      <c r="F27">
        <f t="shared" si="14"/>
        <v>-237.512</v>
      </c>
      <c r="G27">
        <f t="shared" si="14"/>
        <v>439.43679999999995</v>
      </c>
      <c r="H27">
        <f t="shared" si="14"/>
        <v>-481.89823999999999</v>
      </c>
      <c r="I27">
        <f t="shared" si="14"/>
        <v>289.92614399999991</v>
      </c>
      <c r="J27" s="8">
        <f t="shared" si="14"/>
        <v>-73.801728000000253</v>
      </c>
      <c r="K27">
        <f t="shared" si="14"/>
        <v>-4.5474735088646412E-13</v>
      </c>
    </row>
    <row r="28" spans="1:11" x14ac:dyDescent="0.35">
      <c r="B28">
        <v>2</v>
      </c>
      <c r="C28" s="7">
        <f t="shared" si="11"/>
        <v>1</v>
      </c>
      <c r="D28">
        <f>D23+$B$28*C28</f>
        <v>-13.2</v>
      </c>
      <c r="E28">
        <f t="shared" ref="E28:K28" si="15">E23+$B$28*D28</f>
        <v>73.839999999999975</v>
      </c>
      <c r="F28">
        <f t="shared" si="15"/>
        <v>-226.84800000000001</v>
      </c>
      <c r="G28">
        <f t="shared" si="15"/>
        <v>413.26239999999996</v>
      </c>
      <c r="H28">
        <f t="shared" si="15"/>
        <v>-446.35968000000003</v>
      </c>
      <c r="I28">
        <f t="shared" si="15"/>
        <v>264.62361599999986</v>
      </c>
      <c r="J28" s="8">
        <f t="shared" si="15"/>
        <v>-66.421555200000398</v>
      </c>
      <c r="K28">
        <f t="shared" si="15"/>
        <v>-7.9580786405131221E-13</v>
      </c>
    </row>
    <row r="29" spans="1:11" x14ac:dyDescent="0.35">
      <c r="B29">
        <v>2.2000000000000002</v>
      </c>
      <c r="C29" s="7">
        <f t="shared" si="11"/>
        <v>1</v>
      </c>
      <c r="D29">
        <f>D23+$B$29*C29</f>
        <v>-13</v>
      </c>
      <c r="E29">
        <f t="shared" ref="E29:K29" si="16">E23+$B$29*D29</f>
        <v>71.639999999999986</v>
      </c>
      <c r="F29">
        <f t="shared" si="16"/>
        <v>-216.92</v>
      </c>
      <c r="G29">
        <f t="shared" si="16"/>
        <v>389.73439999999999</v>
      </c>
      <c r="H29">
        <f t="shared" si="16"/>
        <v>-415.46879999999987</v>
      </c>
      <c r="I29">
        <f t="shared" si="16"/>
        <v>243.31161600000007</v>
      </c>
      <c r="J29" s="8">
        <f t="shared" si="16"/>
        <v>-60.383231999999907</v>
      </c>
      <c r="K29">
        <f t="shared" si="16"/>
        <v>0</v>
      </c>
    </row>
    <row r="30" spans="1:11" x14ac:dyDescent="0.35">
      <c r="B30">
        <v>2.4</v>
      </c>
      <c r="C30" s="7">
        <f t="shared" si="11"/>
        <v>1</v>
      </c>
      <c r="D30">
        <f>D23+$B$30*C30</f>
        <v>-12.799999999999999</v>
      </c>
      <c r="E30">
        <f t="shared" ref="E30:K30" si="17">E23+$B$30*D30</f>
        <v>69.519999999999982</v>
      </c>
      <c r="F30">
        <f t="shared" si="17"/>
        <v>-207.68</v>
      </c>
      <c r="G30">
        <f t="shared" si="17"/>
        <v>368.52639999999997</v>
      </c>
      <c r="H30">
        <f t="shared" si="17"/>
        <v>-388.42112000000009</v>
      </c>
      <c r="I30">
        <f t="shared" si="17"/>
        <v>225.13228799999979</v>
      </c>
      <c r="J30" s="8">
        <f t="shared" si="17"/>
        <v>-55.351296000000616</v>
      </c>
      <c r="K30">
        <f t="shared" si="17"/>
        <v>-1.4779288903810084E-12</v>
      </c>
    </row>
    <row r="31" spans="1:11" ht="15" thickBot="1" x14ac:dyDescent="0.4">
      <c r="B31">
        <v>2.6</v>
      </c>
      <c r="C31" s="9">
        <f t="shared" si="11"/>
        <v>1</v>
      </c>
      <c r="D31" s="10">
        <f>D23+$B$31*C31</f>
        <v>-12.6</v>
      </c>
      <c r="E31" s="10">
        <f t="shared" ref="E31:K31" si="18">E23+$B$31*D31</f>
        <v>67.47999999999999</v>
      </c>
      <c r="F31" s="10">
        <f t="shared" si="18"/>
        <v>-199.07999999999998</v>
      </c>
      <c r="G31" s="10">
        <f t="shared" si="18"/>
        <v>349.35040000000004</v>
      </c>
      <c r="H31" s="10">
        <f t="shared" si="18"/>
        <v>-364.57343999999978</v>
      </c>
      <c r="I31" s="10">
        <f t="shared" si="18"/>
        <v>209.45203200000049</v>
      </c>
      <c r="J31" s="11">
        <f t="shared" si="18"/>
        <v>-51.093503999998802</v>
      </c>
      <c r="K31">
        <f t="shared" si="18"/>
        <v>3.0979663279140368E-12</v>
      </c>
    </row>
    <row r="34" spans="1:11" x14ac:dyDescent="0.35">
      <c r="A34" t="s">
        <v>13</v>
      </c>
      <c r="C34" cm="1">
        <f t="array" ref="C34:J34">MMULT(E13:L13,C24:J31)</f>
        <v>1.5500992063209651E-2</v>
      </c>
      <c r="D34">
        <v>-0.20616319444161491</v>
      </c>
      <c r="E34">
        <v>1.1853298611022183</v>
      </c>
      <c r="F34">
        <v>-3.779079860974889</v>
      </c>
      <c r="G34">
        <v>6.6717881945660338</v>
      </c>
      <c r="H34">
        <v>-4.7197569441123051</v>
      </c>
      <c r="I34">
        <v>4.2884809531096835</v>
      </c>
      <c r="J34">
        <v>-4.0787999983513146</v>
      </c>
    </row>
    <row r="35" spans="1:11" x14ac:dyDescent="0.35">
      <c r="A35" t="s">
        <v>14</v>
      </c>
      <c r="B35">
        <v>1.95</v>
      </c>
      <c r="C35">
        <f>C34</f>
        <v>1.5500992063209651E-2</v>
      </c>
      <c r="D35">
        <f>$B$35*C35+D34</f>
        <v>-0.1759362599183561</v>
      </c>
      <c r="E35">
        <f t="shared" ref="E35:J35" si="19">$B$35*D35+E34</f>
        <v>0.84225415426142392</v>
      </c>
      <c r="F35">
        <f t="shared" si="19"/>
        <v>-2.1366842601651124</v>
      </c>
      <c r="G35">
        <f t="shared" si="19"/>
        <v>2.5052538872440646</v>
      </c>
      <c r="H35">
        <f t="shared" si="19"/>
        <v>0.16548813601362067</v>
      </c>
      <c r="I35">
        <f t="shared" si="19"/>
        <v>4.6111828183362435</v>
      </c>
      <c r="J35" s="1">
        <f t="shared" si="19"/>
        <v>4.9130064974043606</v>
      </c>
    </row>
    <row r="36" spans="1:11" x14ac:dyDescent="0.35">
      <c r="A36" t="s">
        <v>15</v>
      </c>
      <c r="B36">
        <v>1.95</v>
      </c>
      <c r="C36">
        <f>C34</f>
        <v>1.5500992063209651E-2</v>
      </c>
      <c r="D36">
        <f>D35+$B$36*C36</f>
        <v>-0.14570932539509729</v>
      </c>
      <c r="E36">
        <f t="shared" ref="E36:I36" si="20">E35+$B$36*D36</f>
        <v>0.55812096974098413</v>
      </c>
      <c r="F36">
        <f t="shared" si="20"/>
        <v>-1.0483483691701934</v>
      </c>
      <c r="G36">
        <f t="shared" si="20"/>
        <v>0.46097456736218767</v>
      </c>
      <c r="H36">
        <f t="shared" si="20"/>
        <v>1.0643885423698864</v>
      </c>
      <c r="I36" s="1">
        <f t="shared" si="20"/>
        <v>6.6867404759575226</v>
      </c>
      <c r="K36" s="3">
        <f>I36*1</f>
        <v>6.6867404759575226</v>
      </c>
    </row>
    <row r="37" spans="1:11" x14ac:dyDescent="0.35">
      <c r="A37" t="s">
        <v>16</v>
      </c>
      <c r="B37">
        <v>1.95</v>
      </c>
      <c r="C37">
        <f>C34</f>
        <v>1.5500992063209651E-2</v>
      </c>
      <c r="D37">
        <f>D36+$B$37*C37</f>
        <v>-0.11548239087183847</v>
      </c>
      <c r="E37">
        <f t="shared" ref="E37:H37" si="21">E36+$B$37*D37</f>
        <v>0.33293030754089914</v>
      </c>
      <c r="F37">
        <f t="shared" si="21"/>
        <v>-0.39913426946544006</v>
      </c>
      <c r="G37">
        <f t="shared" si="21"/>
        <v>-0.31733725809542046</v>
      </c>
      <c r="H37" s="1">
        <f t="shared" si="21"/>
        <v>0.44558088908381654</v>
      </c>
      <c r="K37" s="3">
        <f>H37*2*1</f>
        <v>0.89116177816763309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19CAC-497F-4D16-A506-F5EC7B7D697D}">
  <dimension ref="A2:M37"/>
  <sheetViews>
    <sheetView topLeftCell="A27" workbookViewId="0">
      <selection activeCell="P30" sqref="P30"/>
    </sheetView>
  </sheetViews>
  <sheetFormatPr defaultRowHeight="14.5" x14ac:dyDescent="0.35"/>
  <cols>
    <col min="1" max="1" width="13.81640625" customWidth="1"/>
  </cols>
  <sheetData>
    <row r="2" spans="2:13" x14ac:dyDescent="0.35">
      <c r="B2" t="s">
        <v>3</v>
      </c>
      <c r="C2" t="s">
        <v>4</v>
      </c>
      <c r="E2" t="s">
        <v>5</v>
      </c>
      <c r="F2" t="s">
        <v>10</v>
      </c>
      <c r="M2" t="s">
        <v>20</v>
      </c>
    </row>
    <row r="3" spans="2:13" x14ac:dyDescent="0.35">
      <c r="B3">
        <v>1.2</v>
      </c>
      <c r="C3">
        <f>ROUND((B3^2-3*COS(B3)),4)</f>
        <v>0.35289999999999999</v>
      </c>
      <c r="E3">
        <v>1</v>
      </c>
      <c r="F3">
        <f>$B$4-B3</f>
        <v>0.19999999999999996</v>
      </c>
      <c r="G3">
        <f>$B$5-B3</f>
        <v>0.40000000000000013</v>
      </c>
      <c r="H3">
        <f>$B$6-B3</f>
        <v>0.60000000000000009</v>
      </c>
      <c r="I3">
        <f>$B$7-B3</f>
        <v>0.8</v>
      </c>
      <c r="J3">
        <f>$B$8-B3</f>
        <v>1.0000000000000002</v>
      </c>
      <c r="K3">
        <f>$B$9-B3</f>
        <v>1.2</v>
      </c>
      <c r="L3">
        <f>$B$10-B3</f>
        <v>1.4000000000000001</v>
      </c>
      <c r="M3">
        <f>$B$11-B3</f>
        <v>1.5999999999999999</v>
      </c>
    </row>
    <row r="4" spans="2:13" x14ac:dyDescent="0.35">
      <c r="B4">
        <v>1.4</v>
      </c>
      <c r="C4">
        <f t="shared" ref="C4:C11" si="0">ROUND((B4^2-3*COS(B4)),4)</f>
        <v>1.4500999999999999</v>
      </c>
      <c r="E4">
        <f>$B$3-B4</f>
        <v>-0.19999999999999996</v>
      </c>
      <c r="F4">
        <v>1</v>
      </c>
      <c r="G4">
        <f t="shared" ref="G4:G11" si="1">$B$5-B4</f>
        <v>0.20000000000000018</v>
      </c>
      <c r="H4">
        <f t="shared" ref="H4:H11" si="2">$B$6-B4</f>
        <v>0.40000000000000013</v>
      </c>
      <c r="I4">
        <f t="shared" ref="I4:I11" si="3">$B$7-B4</f>
        <v>0.60000000000000009</v>
      </c>
      <c r="J4">
        <f t="shared" ref="J4:J11" si="4">$B$8-B4</f>
        <v>0.80000000000000027</v>
      </c>
      <c r="K4">
        <f t="shared" ref="K4:K11" si="5">$B$9-B4</f>
        <v>1</v>
      </c>
      <c r="L4">
        <f t="shared" ref="L4:L9" si="6">$B$10-B4</f>
        <v>1.2000000000000002</v>
      </c>
      <c r="M4">
        <f t="shared" ref="M4:M10" si="7">$B$11-B4</f>
        <v>1.4</v>
      </c>
    </row>
    <row r="5" spans="2:13" x14ac:dyDescent="0.35">
      <c r="B5">
        <v>1.6</v>
      </c>
      <c r="C5">
        <f t="shared" si="0"/>
        <v>2.6476000000000002</v>
      </c>
      <c r="E5">
        <f t="shared" ref="E5:E11" si="8">$B$3-B5</f>
        <v>-0.40000000000000013</v>
      </c>
      <c r="F5">
        <f t="shared" ref="F5:F11" si="9">$B$4-B5</f>
        <v>-0.20000000000000018</v>
      </c>
      <c r="G5">
        <v>1</v>
      </c>
      <c r="H5">
        <f t="shared" si="2"/>
        <v>0.19999999999999996</v>
      </c>
      <c r="I5">
        <f t="shared" si="3"/>
        <v>0.39999999999999991</v>
      </c>
      <c r="J5">
        <f t="shared" si="4"/>
        <v>0.60000000000000009</v>
      </c>
      <c r="K5">
        <f t="shared" si="5"/>
        <v>0.79999999999999982</v>
      </c>
      <c r="L5">
        <f t="shared" si="6"/>
        <v>1</v>
      </c>
      <c r="M5">
        <f t="shared" si="7"/>
        <v>1.1999999999999997</v>
      </c>
    </row>
    <row r="6" spans="2:13" x14ac:dyDescent="0.35">
      <c r="B6">
        <v>1.8</v>
      </c>
      <c r="C6">
        <f t="shared" si="0"/>
        <v>3.9216000000000002</v>
      </c>
      <c r="E6">
        <f t="shared" si="8"/>
        <v>-0.60000000000000009</v>
      </c>
      <c r="F6">
        <f t="shared" si="9"/>
        <v>-0.40000000000000013</v>
      </c>
      <c r="G6">
        <f t="shared" si="1"/>
        <v>-0.19999999999999996</v>
      </c>
      <c r="H6">
        <v>1</v>
      </c>
      <c r="I6">
        <f t="shared" si="3"/>
        <v>0.19999999999999996</v>
      </c>
      <c r="J6">
        <f t="shared" si="4"/>
        <v>0.40000000000000013</v>
      </c>
      <c r="K6">
        <f t="shared" si="5"/>
        <v>0.59999999999999987</v>
      </c>
      <c r="L6">
        <f t="shared" si="6"/>
        <v>0.8</v>
      </c>
      <c r="M6">
        <f t="shared" si="7"/>
        <v>0.99999999999999978</v>
      </c>
    </row>
    <row r="7" spans="2:13" x14ac:dyDescent="0.35">
      <c r="B7">
        <v>2</v>
      </c>
      <c r="C7">
        <f t="shared" si="0"/>
        <v>5.2484000000000002</v>
      </c>
      <c r="E7">
        <f t="shared" si="8"/>
        <v>-0.8</v>
      </c>
      <c r="F7">
        <f t="shared" si="9"/>
        <v>-0.60000000000000009</v>
      </c>
      <c r="G7">
        <f t="shared" si="1"/>
        <v>-0.39999999999999991</v>
      </c>
      <c r="H7">
        <f t="shared" si="2"/>
        <v>-0.19999999999999996</v>
      </c>
      <c r="I7">
        <v>1</v>
      </c>
      <c r="J7">
        <f t="shared" si="4"/>
        <v>0.20000000000000018</v>
      </c>
      <c r="K7">
        <f t="shared" si="5"/>
        <v>0.39999999999999991</v>
      </c>
      <c r="L7">
        <f t="shared" si="6"/>
        <v>0.60000000000000009</v>
      </c>
      <c r="M7">
        <f t="shared" si="7"/>
        <v>0.79999999999999982</v>
      </c>
    </row>
    <row r="8" spans="2:13" x14ac:dyDescent="0.35">
      <c r="B8">
        <v>2.2000000000000002</v>
      </c>
      <c r="C8">
        <f t="shared" si="0"/>
        <v>6.6055000000000001</v>
      </c>
      <c r="E8">
        <f t="shared" si="8"/>
        <v>-1.0000000000000002</v>
      </c>
      <c r="F8">
        <f t="shared" si="9"/>
        <v>-0.80000000000000027</v>
      </c>
      <c r="G8">
        <f t="shared" si="1"/>
        <v>-0.60000000000000009</v>
      </c>
      <c r="H8">
        <f t="shared" si="2"/>
        <v>-0.40000000000000013</v>
      </c>
      <c r="I8">
        <f t="shared" si="3"/>
        <v>-0.20000000000000018</v>
      </c>
      <c r="J8">
        <v>1</v>
      </c>
      <c r="K8">
        <f t="shared" si="5"/>
        <v>0.19999999999999973</v>
      </c>
      <c r="L8">
        <f t="shared" si="6"/>
        <v>0.39999999999999991</v>
      </c>
      <c r="M8">
        <f t="shared" si="7"/>
        <v>0.59999999999999964</v>
      </c>
    </row>
    <row r="9" spans="2:13" x14ac:dyDescent="0.35">
      <c r="B9">
        <v>2.4</v>
      </c>
      <c r="C9">
        <f t="shared" si="0"/>
        <v>7.9722</v>
      </c>
      <c r="E9">
        <f t="shared" si="8"/>
        <v>-1.2</v>
      </c>
      <c r="F9">
        <f t="shared" si="9"/>
        <v>-1</v>
      </c>
      <c r="G9">
        <f t="shared" si="1"/>
        <v>-0.79999999999999982</v>
      </c>
      <c r="H9">
        <f t="shared" si="2"/>
        <v>-0.59999999999999987</v>
      </c>
      <c r="I9">
        <f t="shared" si="3"/>
        <v>-0.39999999999999991</v>
      </c>
      <c r="J9">
        <f t="shared" si="4"/>
        <v>-0.19999999999999973</v>
      </c>
      <c r="K9">
        <v>1</v>
      </c>
      <c r="L9">
        <f t="shared" si="6"/>
        <v>0.20000000000000018</v>
      </c>
      <c r="M9">
        <f t="shared" si="7"/>
        <v>0.39999999999999991</v>
      </c>
    </row>
    <row r="10" spans="2:13" x14ac:dyDescent="0.35">
      <c r="B10">
        <v>2.6</v>
      </c>
      <c r="C10">
        <f t="shared" si="0"/>
        <v>9.3307000000000002</v>
      </c>
      <c r="E10">
        <f t="shared" si="8"/>
        <v>-1.4000000000000001</v>
      </c>
      <c r="F10">
        <f t="shared" si="9"/>
        <v>-1.2000000000000002</v>
      </c>
      <c r="G10">
        <f t="shared" si="1"/>
        <v>-1</v>
      </c>
      <c r="H10">
        <f t="shared" si="2"/>
        <v>-0.8</v>
      </c>
      <c r="I10">
        <f t="shared" si="3"/>
        <v>-0.60000000000000009</v>
      </c>
      <c r="J10">
        <f t="shared" si="4"/>
        <v>-0.39999999999999991</v>
      </c>
      <c r="K10">
        <f t="shared" si="5"/>
        <v>-0.20000000000000018</v>
      </c>
      <c r="L10">
        <v>1</v>
      </c>
      <c r="M10">
        <f t="shared" si="7"/>
        <v>0.19999999999999973</v>
      </c>
    </row>
    <row r="11" spans="2:13" x14ac:dyDescent="0.35">
      <c r="B11">
        <v>2.8</v>
      </c>
      <c r="C11">
        <f t="shared" si="0"/>
        <v>10.666700000000001</v>
      </c>
      <c r="E11">
        <f t="shared" si="8"/>
        <v>-1.5999999999999999</v>
      </c>
      <c r="F11">
        <f t="shared" si="9"/>
        <v>-1.4</v>
      </c>
      <c r="G11">
        <f t="shared" si="1"/>
        <v>-1.1999999999999997</v>
      </c>
      <c r="H11">
        <f t="shared" si="2"/>
        <v>-0.99999999999999978</v>
      </c>
      <c r="I11">
        <f t="shared" si="3"/>
        <v>-0.79999999999999982</v>
      </c>
      <c r="J11">
        <f t="shared" si="4"/>
        <v>-0.59999999999999964</v>
      </c>
      <c r="K11">
        <f t="shared" si="5"/>
        <v>-0.39999999999999991</v>
      </c>
      <c r="L11">
        <v>1</v>
      </c>
      <c r="M11">
        <v>1</v>
      </c>
    </row>
    <row r="12" spans="2:13" x14ac:dyDescent="0.35">
      <c r="E12" cm="1">
        <f t="array" ref="E12:M12">TRANSPOSE(C3:C11)</f>
        <v>0.35289999999999999</v>
      </c>
      <c r="F12">
        <v>1.4500999999999999</v>
      </c>
      <c r="G12">
        <v>2.6476000000000002</v>
      </c>
      <c r="H12">
        <v>3.9216000000000002</v>
      </c>
      <c r="I12">
        <v>5.2484000000000002</v>
      </c>
      <c r="J12">
        <v>6.6055000000000001</v>
      </c>
      <c r="K12">
        <v>7.9722</v>
      </c>
      <c r="L12">
        <v>9.3307000000000002</v>
      </c>
      <c r="M12">
        <v>10.666700000000001</v>
      </c>
    </row>
    <row r="13" spans="2:13" x14ac:dyDescent="0.35">
      <c r="D13" s="12" t="s">
        <v>8</v>
      </c>
      <c r="E13" s="1">
        <f>E12/PRODUCT(E3:E11)</f>
        <v>3.4189375620039657</v>
      </c>
      <c r="F13" s="1">
        <f t="shared" ref="F13:M13" si="10">F12/PRODUCT(F3:F11)</f>
        <v>-112.389942956349</v>
      </c>
      <c r="G13" s="1">
        <f t="shared" si="10"/>
        <v>718.20746527777737</v>
      </c>
      <c r="H13" s="1">
        <f t="shared" si="10"/>
        <v>-2127.604166666667</v>
      </c>
      <c r="I13" s="1">
        <f t="shared" si="10"/>
        <v>3559.2990451388887</v>
      </c>
      <c r="J13" s="1">
        <f t="shared" si="10"/>
        <v>-3583.7131076388896</v>
      </c>
      <c r="K13" s="1">
        <f t="shared" si="10"/>
        <v>2162.5976562500023</v>
      </c>
      <c r="L13" s="1">
        <f t="shared" si="10"/>
        <v>144.63510664682525</v>
      </c>
      <c r="M13" s="1">
        <f t="shared" si="10"/>
        <v>103.34027002728205</v>
      </c>
    </row>
    <row r="15" spans="2:13" x14ac:dyDescent="0.35"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</row>
    <row r="16" spans="2:13" x14ac:dyDescent="0.35">
      <c r="B16" cm="1">
        <f t="array" ref="B16:B23">TRANSPOSE(TRANSPOSE(B3:B10))</f>
        <v>1.2</v>
      </c>
      <c r="C16" cm="1">
        <f t="array" ref="C16:L16">D15:M15-B16*C15:L15</f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-1.2</v>
      </c>
    </row>
    <row r="17" spans="1:12" x14ac:dyDescent="0.35">
      <c r="B17">
        <v>1.4</v>
      </c>
      <c r="C17" cm="1">
        <f t="array" ref="C17:L17">D16:M16-B17*C16:L16</f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-2.5999999999999996</v>
      </c>
      <c r="L17">
        <v>1.68</v>
      </c>
    </row>
    <row r="18" spans="1:12" x14ac:dyDescent="0.35">
      <c r="B18">
        <v>1.6</v>
      </c>
      <c r="C18" cm="1">
        <f t="array" ref="C18:L18">D17:M17-B18*C17:L17</f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-4.1999999999999993</v>
      </c>
      <c r="K18">
        <v>5.839999999999999</v>
      </c>
      <c r="L18">
        <v>-2.6880000000000002</v>
      </c>
    </row>
    <row r="19" spans="1:12" x14ac:dyDescent="0.35">
      <c r="B19">
        <v>1.8</v>
      </c>
      <c r="C19" cm="1">
        <f t="array" ref="C19:L19">D18:M18-B19*C18:L18</f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-5.9999999999999991</v>
      </c>
      <c r="J19">
        <v>13.399999999999999</v>
      </c>
      <c r="K19">
        <v>-13.2</v>
      </c>
      <c r="L19">
        <v>4.8384</v>
      </c>
    </row>
    <row r="20" spans="1:12" x14ac:dyDescent="0.35">
      <c r="B20">
        <v>2</v>
      </c>
      <c r="C20" cm="1">
        <f t="array" ref="C20:L20">D19:M19-B20*C19:L19</f>
        <v>0</v>
      </c>
      <c r="D20">
        <v>0</v>
      </c>
      <c r="E20">
        <v>0</v>
      </c>
      <c r="F20">
        <v>0</v>
      </c>
      <c r="G20">
        <v>1</v>
      </c>
      <c r="H20">
        <v>-7.9999999999999991</v>
      </c>
      <c r="I20">
        <v>25.4</v>
      </c>
      <c r="J20">
        <v>-40</v>
      </c>
      <c r="K20">
        <v>31.238399999999999</v>
      </c>
      <c r="L20">
        <v>-9.6768000000000001</v>
      </c>
    </row>
    <row r="21" spans="1:12" x14ac:dyDescent="0.35">
      <c r="B21">
        <v>2.2000000000000002</v>
      </c>
      <c r="C21" cm="1">
        <f t="array" ref="C21:L21">D20:M20-B21*C20:L20</f>
        <v>0</v>
      </c>
      <c r="D21">
        <v>0</v>
      </c>
      <c r="E21">
        <v>0</v>
      </c>
      <c r="F21">
        <v>1</v>
      </c>
      <c r="G21">
        <v>-10.199999999999999</v>
      </c>
      <c r="H21">
        <v>43</v>
      </c>
      <c r="I21">
        <v>-95.88</v>
      </c>
      <c r="J21">
        <v>119.2384</v>
      </c>
      <c r="K21">
        <v>-78.40128</v>
      </c>
      <c r="L21">
        <v>21.288960000000003</v>
      </c>
    </row>
    <row r="22" spans="1:12" x14ac:dyDescent="0.35">
      <c r="B22">
        <v>2.4</v>
      </c>
      <c r="C22" cm="1">
        <f t="array" ref="C22:L22">D21:M21-B22*C21:L21</f>
        <v>0</v>
      </c>
      <c r="D22">
        <v>0</v>
      </c>
      <c r="E22">
        <v>1</v>
      </c>
      <c r="F22">
        <v>-12.6</v>
      </c>
      <c r="G22">
        <v>67.47999999999999</v>
      </c>
      <c r="H22">
        <v>-199.07999999999998</v>
      </c>
      <c r="I22">
        <v>349.35039999999998</v>
      </c>
      <c r="J22">
        <v>-364.57343999999995</v>
      </c>
      <c r="K22">
        <v>209.452032</v>
      </c>
      <c r="L22">
        <v>-51.093504000000003</v>
      </c>
    </row>
    <row r="23" spans="1:12" x14ac:dyDescent="0.35">
      <c r="B23">
        <v>2.6</v>
      </c>
      <c r="C23" cm="1">
        <f t="array" ref="C23:L23">D22:M22-B23*C22:L22</f>
        <v>0</v>
      </c>
      <c r="D23" s="15">
        <v>1</v>
      </c>
      <c r="E23" s="15">
        <v>-15.2</v>
      </c>
      <c r="F23" s="15">
        <v>100.23999999999998</v>
      </c>
      <c r="G23" s="15">
        <v>-374.52799999999996</v>
      </c>
      <c r="H23" s="15">
        <v>866.95839999999998</v>
      </c>
      <c r="I23" s="15">
        <v>-1272.8844799999999</v>
      </c>
      <c r="J23" s="15">
        <v>1157.3429759999999</v>
      </c>
      <c r="K23" s="15">
        <v>-595.66878720000011</v>
      </c>
      <c r="L23">
        <v>132.8431104</v>
      </c>
    </row>
    <row r="24" spans="1:12" ht="15" thickBot="1" x14ac:dyDescent="0.4">
      <c r="B24">
        <v>2.8</v>
      </c>
      <c r="C24" s="3" cm="1">
        <f t="array" ref="C24:L24">D23:M23-B24*C23:L23</f>
        <v>1</v>
      </c>
      <c r="D24" s="3">
        <v>-18</v>
      </c>
      <c r="E24" s="3">
        <v>142.79999999999998</v>
      </c>
      <c r="F24" s="3">
        <v>-655.19999999999982</v>
      </c>
      <c r="G24" s="3">
        <v>1915.6367999999998</v>
      </c>
      <c r="H24" s="3">
        <v>-3700.3679999999995</v>
      </c>
      <c r="I24" s="3">
        <v>4721.4195199999995</v>
      </c>
      <c r="J24" s="3">
        <v>-3836.22912</v>
      </c>
      <c r="K24" s="3">
        <v>1800.7157145600004</v>
      </c>
      <c r="L24" s="3">
        <v>-371.96070911999999</v>
      </c>
    </row>
    <row r="25" spans="1:12" x14ac:dyDescent="0.35">
      <c r="A25" s="14" t="s">
        <v>19</v>
      </c>
      <c r="B25" cm="1">
        <f t="array" ref="B25:B32">TRANSPOSE(TRANSPOSE(B3:B10))</f>
        <v>1.2</v>
      </c>
      <c r="C25" s="4">
        <f>$C$24</f>
        <v>1</v>
      </c>
      <c r="D25" s="5">
        <f>D24+$B$25*C25</f>
        <v>-16.8</v>
      </c>
      <c r="E25" s="5">
        <f t="shared" ref="E25:L25" si="11">E24+$B$25*D25</f>
        <v>122.63999999999999</v>
      </c>
      <c r="F25" s="5">
        <f t="shared" si="11"/>
        <v>-508.03199999999981</v>
      </c>
      <c r="G25" s="5">
        <f t="shared" si="11"/>
        <v>1305.9983999999999</v>
      </c>
      <c r="H25" s="5">
        <f t="shared" si="11"/>
        <v>-2133.1699199999994</v>
      </c>
      <c r="I25" s="5">
        <f t="shared" si="11"/>
        <v>2161.6156160000005</v>
      </c>
      <c r="J25" s="5">
        <f t="shared" si="11"/>
        <v>-1242.2903807999996</v>
      </c>
      <c r="K25" s="6">
        <f t="shared" si="11"/>
        <v>309.96725760000095</v>
      </c>
      <c r="L25">
        <f t="shared" si="11"/>
        <v>1.1368683772161603E-12</v>
      </c>
    </row>
    <row r="26" spans="1:12" x14ac:dyDescent="0.35">
      <c r="B26">
        <v>1.4</v>
      </c>
      <c r="C26" s="7">
        <f t="shared" ref="C26:C33" si="12">$C$24</f>
        <v>1</v>
      </c>
      <c r="D26">
        <f>D24+C26*$B$26</f>
        <v>-16.600000000000001</v>
      </c>
      <c r="E26">
        <f t="shared" ref="E26:L26" si="13">E24+D26*$B$26</f>
        <v>119.55999999999997</v>
      </c>
      <c r="F26">
        <f t="shared" si="13"/>
        <v>-487.81599999999986</v>
      </c>
      <c r="G26">
        <f t="shared" si="13"/>
        <v>1232.6943999999999</v>
      </c>
      <c r="H26">
        <f t="shared" si="13"/>
        <v>-1974.5958399999997</v>
      </c>
      <c r="I26">
        <f t="shared" si="13"/>
        <v>1956.9853440000002</v>
      </c>
      <c r="J26">
        <f t="shared" si="13"/>
        <v>-1096.4496383999999</v>
      </c>
      <c r="K26" s="8">
        <f t="shared" si="13"/>
        <v>265.68622080000068</v>
      </c>
      <c r="L26">
        <f t="shared" si="13"/>
        <v>9.6633812063373625E-13</v>
      </c>
    </row>
    <row r="27" spans="1:12" x14ac:dyDescent="0.35">
      <c r="B27">
        <v>1.6</v>
      </c>
      <c r="C27" s="7">
        <f t="shared" si="12"/>
        <v>1</v>
      </c>
      <c r="D27">
        <f>D24+$B$27*C27</f>
        <v>-16.399999999999999</v>
      </c>
      <c r="E27">
        <f t="shared" ref="E27:L27" si="14">E24+$B$27*D27</f>
        <v>116.55999999999999</v>
      </c>
      <c r="F27">
        <f t="shared" si="14"/>
        <v>-468.70399999999984</v>
      </c>
      <c r="G27">
        <f t="shared" si="14"/>
        <v>1165.7103999999999</v>
      </c>
      <c r="H27">
        <f t="shared" si="14"/>
        <v>-1835.2313599999995</v>
      </c>
      <c r="I27">
        <f t="shared" si="14"/>
        <v>1785.049344</v>
      </c>
      <c r="J27">
        <f t="shared" si="14"/>
        <v>-980.15016959999957</v>
      </c>
      <c r="K27" s="8">
        <f t="shared" si="14"/>
        <v>232.47544320000088</v>
      </c>
      <c r="L27">
        <f t="shared" si="14"/>
        <v>1.4210854715202004E-12</v>
      </c>
    </row>
    <row r="28" spans="1:12" x14ac:dyDescent="0.35">
      <c r="B28">
        <v>1.8</v>
      </c>
      <c r="C28" s="7">
        <f t="shared" si="12"/>
        <v>1</v>
      </c>
      <c r="D28">
        <f>D24+$B$28*C28</f>
        <v>-16.2</v>
      </c>
      <c r="E28">
        <f t="shared" ref="E28:L28" si="15">E24+$B$28*D28</f>
        <v>113.63999999999999</v>
      </c>
      <c r="F28">
        <f t="shared" si="15"/>
        <v>-450.6479999999998</v>
      </c>
      <c r="G28">
        <f t="shared" si="15"/>
        <v>1104.4704000000002</v>
      </c>
      <c r="H28">
        <f t="shared" si="15"/>
        <v>-1712.3212799999992</v>
      </c>
      <c r="I28">
        <f t="shared" si="15"/>
        <v>1639.2412160000008</v>
      </c>
      <c r="J28">
        <f t="shared" si="15"/>
        <v>-885.59493119999843</v>
      </c>
      <c r="K28" s="8">
        <f t="shared" si="15"/>
        <v>206.64483840000321</v>
      </c>
      <c r="L28">
        <f t="shared" si="15"/>
        <v>5.7980287238024175E-12</v>
      </c>
    </row>
    <row r="29" spans="1:12" x14ac:dyDescent="0.35">
      <c r="B29">
        <v>2</v>
      </c>
      <c r="C29" s="7">
        <f t="shared" si="12"/>
        <v>1</v>
      </c>
      <c r="D29">
        <f>D24+$B$29*C29</f>
        <v>-16</v>
      </c>
      <c r="E29">
        <f t="shared" ref="E29:L29" si="16">E24+$B$29*D29</f>
        <v>110.79999999999998</v>
      </c>
      <c r="F29">
        <f t="shared" si="16"/>
        <v>-433.59999999999985</v>
      </c>
      <c r="G29">
        <f t="shared" si="16"/>
        <v>1048.4367999999999</v>
      </c>
      <c r="H29">
        <f t="shared" si="16"/>
        <v>-1603.4943999999996</v>
      </c>
      <c r="I29">
        <f t="shared" si="16"/>
        <v>1514.4307200000003</v>
      </c>
      <c r="J29">
        <f t="shared" si="16"/>
        <v>-807.36767999999938</v>
      </c>
      <c r="K29" s="8">
        <f t="shared" si="16"/>
        <v>185.98035456000162</v>
      </c>
      <c r="L29">
        <f t="shared" si="16"/>
        <v>3.2400748750660568E-12</v>
      </c>
    </row>
    <row r="30" spans="1:12" x14ac:dyDescent="0.35">
      <c r="B30">
        <v>2.2000000000000002</v>
      </c>
      <c r="C30" s="7">
        <f t="shared" si="12"/>
        <v>1</v>
      </c>
      <c r="D30">
        <f>D24+$B$30*C30</f>
        <v>-15.8</v>
      </c>
      <c r="E30">
        <f t="shared" ref="E30:L30" si="17">E24+$B$30*D30</f>
        <v>108.03999999999998</v>
      </c>
      <c r="F30">
        <f t="shared" si="17"/>
        <v>-417.51199999999983</v>
      </c>
      <c r="G30">
        <f t="shared" si="17"/>
        <v>997.11040000000003</v>
      </c>
      <c r="H30">
        <f t="shared" si="17"/>
        <v>-1506.7251199999992</v>
      </c>
      <c r="I30">
        <f t="shared" si="17"/>
        <v>1406.624256000001</v>
      </c>
      <c r="J30">
        <f t="shared" si="17"/>
        <v>-741.65575679999756</v>
      </c>
      <c r="K30" s="8">
        <f t="shared" si="17"/>
        <v>169.07304960000556</v>
      </c>
      <c r="L30">
        <f t="shared" si="17"/>
        <v>1.2278178473934531E-11</v>
      </c>
    </row>
    <row r="31" spans="1:12" x14ac:dyDescent="0.35">
      <c r="B31">
        <v>2.4</v>
      </c>
      <c r="C31" s="7">
        <f t="shared" si="12"/>
        <v>1</v>
      </c>
      <c r="D31">
        <f>D24+$B$31*C31</f>
        <v>-15.6</v>
      </c>
      <c r="E31">
        <f t="shared" ref="E31:L31" si="18">E24+$B$31*D31</f>
        <v>105.35999999999999</v>
      </c>
      <c r="F31">
        <f t="shared" si="18"/>
        <v>-402.3359999999999</v>
      </c>
      <c r="G31">
        <f t="shared" si="18"/>
        <v>950.0304000000001</v>
      </c>
      <c r="H31">
        <f t="shared" si="18"/>
        <v>-1420.2950399999995</v>
      </c>
      <c r="I31">
        <f t="shared" si="18"/>
        <v>1312.7114240000005</v>
      </c>
      <c r="J31">
        <f t="shared" si="18"/>
        <v>-685.72170239999878</v>
      </c>
      <c r="K31" s="8">
        <f t="shared" si="18"/>
        <v>154.98362880000332</v>
      </c>
      <c r="L31">
        <f t="shared" si="18"/>
        <v>7.9580786405131221E-12</v>
      </c>
    </row>
    <row r="32" spans="1:12" x14ac:dyDescent="0.35">
      <c r="B32">
        <v>2.6</v>
      </c>
      <c r="C32" s="7">
        <f t="shared" si="12"/>
        <v>1</v>
      </c>
      <c r="D32">
        <f>D24+$B$32*C32</f>
        <v>-15.4</v>
      </c>
      <c r="E32">
        <f t="shared" ref="E32:L32" si="19">E24+$B$32*D32</f>
        <v>102.75999999999999</v>
      </c>
      <c r="F32">
        <f t="shared" si="19"/>
        <v>-388.02399999999983</v>
      </c>
      <c r="G32">
        <f t="shared" si="19"/>
        <v>906.77440000000013</v>
      </c>
      <c r="H32">
        <f t="shared" si="19"/>
        <v>-1342.7545599999989</v>
      </c>
      <c r="I32">
        <f t="shared" si="19"/>
        <v>1230.257664000002</v>
      </c>
      <c r="J32">
        <f t="shared" si="19"/>
        <v>-637.55919359999461</v>
      </c>
      <c r="K32" s="8">
        <f t="shared" si="19"/>
        <v>143.06181120001429</v>
      </c>
      <c r="L32">
        <f t="shared" si="19"/>
        <v>3.7175595934968442E-11</v>
      </c>
    </row>
    <row r="33" spans="1:12" ht="15" thickBot="1" x14ac:dyDescent="0.4">
      <c r="B33">
        <v>2.8</v>
      </c>
      <c r="C33" s="9">
        <f t="shared" si="12"/>
        <v>1</v>
      </c>
      <c r="D33" s="10">
        <f>D24+$B$33*C33</f>
        <v>-15.2</v>
      </c>
      <c r="E33" s="10">
        <f t="shared" ref="E33:L33" si="20">E24+$B$33*D33</f>
        <v>100.23999999999998</v>
      </c>
      <c r="F33" s="10">
        <f t="shared" si="20"/>
        <v>-374.52799999999991</v>
      </c>
      <c r="G33" s="10">
        <f t="shared" si="20"/>
        <v>866.95839999999998</v>
      </c>
      <c r="H33" s="10">
        <f t="shared" si="20"/>
        <v>-1272.8844799999997</v>
      </c>
      <c r="I33" s="10">
        <f t="shared" si="20"/>
        <v>1157.3429760000004</v>
      </c>
      <c r="J33" s="10">
        <f t="shared" si="20"/>
        <v>-595.66878719999931</v>
      </c>
      <c r="K33" s="11">
        <f t="shared" si="20"/>
        <v>132.84311040000239</v>
      </c>
      <c r="L33">
        <f t="shared" si="20"/>
        <v>6.6506800067145377E-12</v>
      </c>
    </row>
    <row r="34" spans="1:12" x14ac:dyDescent="0.35">
      <c r="A34" t="s">
        <v>13</v>
      </c>
      <c r="C34" cm="1">
        <f t="array" ref="C34:K34">MMULT(E13:M13,C25:K33)</f>
        <v>867.79126364087415</v>
      </c>
      <c r="D34">
        <v>-13363.973834325412</v>
      </c>
      <c r="E34">
        <v>89174.072916666788</v>
      </c>
      <c r="F34">
        <v>-336722.91345486155</v>
      </c>
      <c r="G34">
        <v>786887.89481770864</v>
      </c>
      <c r="H34">
        <v>-1165225.3584131976</v>
      </c>
      <c r="I34">
        <v>1067603.5459019835</v>
      </c>
      <c r="J34">
        <v>-553264.8214576263</v>
      </c>
      <c r="K34">
        <v>124143.9091199892</v>
      </c>
    </row>
    <row r="35" spans="1:12" x14ac:dyDescent="0.35">
      <c r="A35" t="s">
        <v>14</v>
      </c>
      <c r="B35">
        <v>1.95</v>
      </c>
      <c r="C35">
        <f>C34</f>
        <v>867.79126364087415</v>
      </c>
      <c r="D35">
        <f>C35*$B$35+D34</f>
        <v>-11671.780870225708</v>
      </c>
      <c r="E35">
        <f t="shared" ref="E35:K35" si="21">D35*$B$35+E34</f>
        <v>66414.10021972665</v>
      </c>
      <c r="F35">
        <f t="shared" si="21"/>
        <v>-207215.41802639459</v>
      </c>
      <c r="G35">
        <f t="shared" si="21"/>
        <v>382817.82966623921</v>
      </c>
      <c r="H35">
        <f t="shared" si="21"/>
        <v>-418730.59056403115</v>
      </c>
      <c r="I35">
        <f t="shared" si="21"/>
        <v>251078.89430212276</v>
      </c>
      <c r="J35">
        <f t="shared" si="21"/>
        <v>-63660.977568486938</v>
      </c>
      <c r="K35" s="1">
        <f t="shared" si="21"/>
        <v>5.0028614396724151</v>
      </c>
    </row>
    <row r="36" spans="1:12" x14ac:dyDescent="0.35">
      <c r="A36" t="s">
        <v>15</v>
      </c>
      <c r="B36">
        <v>1.95</v>
      </c>
      <c r="C36">
        <f>C34</f>
        <v>867.79126364087415</v>
      </c>
      <c r="D36">
        <f>D35+$B$36*C36</f>
        <v>-9979.5879061260039</v>
      </c>
      <c r="E36">
        <f t="shared" ref="E36:J36" si="22">E35+$B$36*D36</f>
        <v>46953.903802780944</v>
      </c>
      <c r="F36">
        <f t="shared" si="22"/>
        <v>-115655.30561097174</v>
      </c>
      <c r="G36">
        <f t="shared" si="22"/>
        <v>157289.98372484432</v>
      </c>
      <c r="H36">
        <f t="shared" si="22"/>
        <v>-112015.12230058474</v>
      </c>
      <c r="I36">
        <f t="shared" si="22"/>
        <v>32649.405815982522</v>
      </c>
      <c r="J36" s="1">
        <f t="shared" si="22"/>
        <v>5.363772678974783</v>
      </c>
      <c r="K36" s="3">
        <f>J36*1</f>
        <v>5.363772678974783</v>
      </c>
    </row>
    <row r="37" spans="1:12" x14ac:dyDescent="0.35">
      <c r="A37" t="s">
        <v>16</v>
      </c>
      <c r="B37">
        <v>1.95</v>
      </c>
      <c r="C37">
        <f>C34</f>
        <v>867.79126364087415</v>
      </c>
      <c r="D37">
        <f>D36+$B$37*C37</f>
        <v>-8287.3949420262998</v>
      </c>
      <c r="E37">
        <f t="shared" ref="E37:I37" si="23">E36+$B$37*D37</f>
        <v>30793.483665829659</v>
      </c>
      <c r="F37">
        <f t="shared" si="23"/>
        <v>-55608.012462603911</v>
      </c>
      <c r="G37">
        <f t="shared" si="23"/>
        <v>48854.359422766705</v>
      </c>
      <c r="H37">
        <f t="shared" si="23"/>
        <v>-16749.121426189668</v>
      </c>
      <c r="I37" s="1">
        <f t="shared" si="23"/>
        <v>-11.380965087329969</v>
      </c>
      <c r="K37" s="3">
        <f>I37*2*1</f>
        <v>-22.761930174659938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A266EC789BD24FA5391E2F96545446" ma:contentTypeVersion="8" ma:contentTypeDescription="Create a new document." ma:contentTypeScope="" ma:versionID="984dd93d0aba83e5184cf3b3f3a106b9">
  <xsd:schema xmlns:xsd="http://www.w3.org/2001/XMLSchema" xmlns:xs="http://www.w3.org/2001/XMLSchema" xmlns:p="http://schemas.microsoft.com/office/2006/metadata/properties" xmlns:ns2="17069a2e-d111-4f6e-847c-7e4dad8b4ed8" targetNamespace="http://schemas.microsoft.com/office/2006/metadata/properties" ma:root="true" ma:fieldsID="71f6800125cfd7d70867653ef51d342f" ns2:_="">
    <xsd:import namespace="17069a2e-d111-4f6e-847c-7e4dad8b4e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69a2e-d111-4f6e-847c-7e4dad8b4e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753647-4CDB-4BB2-B57E-F81EE90811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DC50F6-36CC-4062-85C8-B6B4F353AC08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4F8B7B9-8BE3-4F4E-AB94-5D9CAF5E554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934BAB-23FD-488E-A6E5-C260DA315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069a2e-d111-4f6e-847c-7e4dad8b4e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20191.1 ( 10 mốc )</vt:lpstr>
      <vt:lpstr>Sheet1</vt:lpstr>
      <vt:lpstr>Sheet2</vt:lpstr>
      <vt:lpstr>6 mốc</vt:lpstr>
      <vt:lpstr>Bài 16 (7 mốc)</vt:lpstr>
      <vt:lpstr>8 mốc</vt:lpstr>
      <vt:lpstr>9 mốc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TÍN PHÁT LAPTOP</dc:creator>
  <cp:keywords/>
  <dc:description/>
  <cp:lastModifiedBy>Dang Quyet Tien 20227033</cp:lastModifiedBy>
  <cp:revision/>
  <dcterms:created xsi:type="dcterms:W3CDTF">2024-09-24T00:33:46Z</dcterms:created>
  <dcterms:modified xsi:type="dcterms:W3CDTF">2024-10-29T03:59:51Z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0x010100E4A266EC789BD24FA5391E2F96545446</vt:lpwstr>
  </property>
</Properties>
</file>