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ien\Desktop\PPS\Tien\4. Newton mốc cách đều\"/>
    </mc:Choice>
  </mc:AlternateContent>
  <xr:revisionPtr revIDLastSave="0" documentId="13_ncr:1_{798194DA-819A-4813-888F-5D18A88F972D}" xr6:coauthVersionLast="47" xr6:coauthVersionMax="47" xr10:uidLastSave="{00000000-0000-0000-0000-000000000000}"/>
  <bookViews>
    <workbookView xWindow="-110" yWindow="-110" windowWidth="19420" windowHeight="10300" activeTab="1" xr2:uid="{CB7E6391-2F0B-409C-A84B-7465A1BE7B0D}"/>
  </bookViews>
  <sheets>
    <sheet name="8.10 (8 mốc)" sheetId="1" r:id="rId1"/>
    <sheet name="Bài 20 ( 8 mốc )" sheetId="2" r:id="rId2"/>
    <sheet name="9 mố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6" l="1"/>
  <c r="P27" i="2"/>
  <c r="R26" i="6"/>
  <c r="R25" i="6"/>
  <c r="N27" i="6"/>
  <c r="O26" i="6"/>
  <c r="P25" i="6"/>
  <c r="Q24" i="6"/>
  <c r="H24" i="6"/>
  <c r="I23" i="6" a="1"/>
  <c r="I23" i="6" s="1"/>
  <c r="I16" i="6" a="1"/>
  <c r="I16" i="6" s="1"/>
  <c r="I17" i="6" s="1" a="1"/>
  <c r="I17" i="6" s="1"/>
  <c r="I18" i="6" s="1" a="1"/>
  <c r="I18" i="6" s="1"/>
  <c r="I19" i="6" s="1" a="1"/>
  <c r="I19" i="6" s="1"/>
  <c r="I20" i="6" s="1" a="1"/>
  <c r="I20" i="6" s="1"/>
  <c r="I21" i="6" s="1" a="1"/>
  <c r="I21" i="6" s="1"/>
  <c r="I22" i="6" s="1" a="1"/>
  <c r="I22" i="6" s="1"/>
  <c r="I15" i="6" a="1"/>
  <c r="I15" i="6" s="1"/>
  <c r="Q12" i="6"/>
  <c r="Q11" i="6"/>
  <c r="Q10" i="6"/>
  <c r="P10" i="6"/>
  <c r="O10" i="6"/>
  <c r="N10" i="6"/>
  <c r="M10" i="6"/>
  <c r="L10" i="6"/>
  <c r="L9" i="6"/>
  <c r="K10" i="6"/>
  <c r="K9" i="6"/>
  <c r="J10" i="6"/>
  <c r="J9" i="6"/>
  <c r="I10" i="6"/>
  <c r="H10" i="6"/>
  <c r="K5" i="6"/>
  <c r="K4" i="6"/>
  <c r="J5" i="6"/>
  <c r="J4" i="6"/>
  <c r="J3" i="6"/>
  <c r="I2" i="6"/>
  <c r="G2" i="6"/>
  <c r="F1" i="6"/>
  <c r="D3" i="6"/>
  <c r="C3" i="6"/>
  <c r="C4" i="6" s="1"/>
  <c r="D2" i="6"/>
  <c r="M27" i="2"/>
  <c r="K27" i="2"/>
  <c r="L27" i="2"/>
  <c r="J27" i="2"/>
  <c r="I27" i="2"/>
  <c r="G4" i="2"/>
  <c r="G5" i="2"/>
  <c r="G6" i="2" s="1"/>
  <c r="G7" i="2" s="1"/>
  <c r="G8" i="2" s="1"/>
  <c r="G9" i="2" s="1"/>
  <c r="G3" i="2"/>
  <c r="E1" i="2"/>
  <c r="I15" i="2" a="1"/>
  <c r="I15" i="2" s="1"/>
  <c r="I16" i="2" s="1" a="1"/>
  <c r="I16" i="2" s="1"/>
  <c r="I17" i="2" s="1" a="1"/>
  <c r="I17" i="2" s="1"/>
  <c r="I18" i="2" s="1" a="1"/>
  <c r="I18" i="2" s="1"/>
  <c r="I19" i="2" s="1" a="1"/>
  <c r="I19" i="2" s="1"/>
  <c r="I20" i="2" s="1" a="1"/>
  <c r="I20" i="2" s="1"/>
  <c r="I21" i="2" s="1" a="1"/>
  <c r="I21" i="2" s="1"/>
  <c r="C4" i="2"/>
  <c r="C3" i="2"/>
  <c r="D3" i="2" s="1"/>
  <c r="D2" i="2"/>
  <c r="F1" i="2"/>
  <c r="G2" i="2" s="1"/>
  <c r="P25" i="1"/>
  <c r="P26" i="1"/>
  <c r="H24" i="1"/>
  <c r="R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" i="1"/>
  <c r="C5" i="6" l="1"/>
  <c r="D4" i="6"/>
  <c r="G3" i="6"/>
  <c r="D4" i="2"/>
  <c r="C5" i="2"/>
  <c r="I16" i="1" a="1"/>
  <c r="I16" i="1" s="1"/>
  <c r="I17" i="1" s="1" a="1"/>
  <c r="I17" i="1" s="1"/>
  <c r="I18" i="1" s="1" a="1"/>
  <c r="I18" i="1" s="1"/>
  <c r="I19" i="1" s="1" a="1"/>
  <c r="I19" i="1" s="1"/>
  <c r="I20" i="1" s="1" a="1"/>
  <c r="I20" i="1" s="1"/>
  <c r="I21" i="1" s="1" a="1"/>
  <c r="I21" i="1" s="1"/>
  <c r="I15" i="1" a="1"/>
  <c r="I15" i="1" s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F1" i="1"/>
  <c r="G2" i="1" s="1"/>
  <c r="H2" i="1" s="1"/>
  <c r="C200" i="1"/>
  <c r="C201" i="1" s="1"/>
  <c r="C202" i="1" s="1"/>
  <c r="C5" i="1"/>
  <c r="C6" i="1"/>
  <c r="C7" i="1"/>
  <c r="C8" i="1"/>
  <c r="C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4" i="1"/>
  <c r="C3" i="1"/>
  <c r="G4" i="6" l="1"/>
  <c r="D5" i="6"/>
  <c r="C6" i="6"/>
  <c r="C6" i="2"/>
  <c r="D5" i="2"/>
  <c r="J8" i="1"/>
  <c r="J7" i="1"/>
  <c r="J9" i="1"/>
  <c r="J6" i="1"/>
  <c r="K7" i="1" s="1"/>
  <c r="J4" i="1"/>
  <c r="J5" i="1"/>
  <c r="I2" i="1"/>
  <c r="G5" i="6" l="1"/>
  <c r="C7" i="6"/>
  <c r="D6" i="6"/>
  <c r="D6" i="2"/>
  <c r="C7" i="2"/>
  <c r="K9" i="1"/>
  <c r="K8" i="1"/>
  <c r="L9" i="1"/>
  <c r="L8" i="1"/>
  <c r="K5" i="1"/>
  <c r="K6" i="1"/>
  <c r="J3" i="1"/>
  <c r="I11" i="1"/>
  <c r="I12" i="1" s="1"/>
  <c r="C8" i="6" l="1"/>
  <c r="D7" i="6"/>
  <c r="G6" i="6"/>
  <c r="C8" i="2"/>
  <c r="D7" i="2"/>
  <c r="M9" i="1"/>
  <c r="L6" i="1"/>
  <c r="L7" i="1"/>
  <c r="K4" i="1"/>
  <c r="J11" i="1"/>
  <c r="J12" i="1" s="1"/>
  <c r="C9" i="6" l="1"/>
  <c r="D8" i="6"/>
  <c r="G7" i="6"/>
  <c r="C9" i="2"/>
  <c r="D8" i="2"/>
  <c r="M7" i="1"/>
  <c r="M8" i="1"/>
  <c r="L5" i="1"/>
  <c r="K11" i="1"/>
  <c r="K12" i="1" s="1"/>
  <c r="D9" i="6" l="1"/>
  <c r="C10" i="6"/>
  <c r="G8" i="6"/>
  <c r="C10" i="2"/>
  <c r="D9" i="2"/>
  <c r="N8" i="1"/>
  <c r="N9" i="1"/>
  <c r="O9" i="1" s="1"/>
  <c r="M6" i="1"/>
  <c r="L11" i="1"/>
  <c r="L12" i="1" s="1"/>
  <c r="D10" i="6" l="1"/>
  <c r="C11" i="6"/>
  <c r="G9" i="6"/>
  <c r="G10" i="6" s="1"/>
  <c r="D10" i="2"/>
  <c r="C11" i="2"/>
  <c r="N7" i="1"/>
  <c r="M11" i="1"/>
  <c r="M12" i="1" s="1"/>
  <c r="C12" i="6" l="1"/>
  <c r="D11" i="6"/>
  <c r="D11" i="2"/>
  <c r="C12" i="2"/>
  <c r="O8" i="1"/>
  <c r="N11" i="1"/>
  <c r="N12" i="1" s="1"/>
  <c r="C13" i="6" l="1"/>
  <c r="D12" i="6"/>
  <c r="C13" i="2"/>
  <c r="D12" i="2"/>
  <c r="P9" i="1"/>
  <c r="P11" i="1" s="1"/>
  <c r="P12" i="1" s="1"/>
  <c r="O11" i="1"/>
  <c r="O12" i="1" s="1"/>
  <c r="D13" i="6" l="1"/>
  <c r="C14" i="6"/>
  <c r="C14" i="2"/>
  <c r="D13" i="2"/>
  <c r="I23" i="1" a="1"/>
  <c r="I23" i="1" s="1"/>
  <c r="I24" i="1" s="1"/>
  <c r="J24" i="1" s="1"/>
  <c r="K24" i="1" s="1"/>
  <c r="L24" i="1" s="1"/>
  <c r="M24" i="1" s="1"/>
  <c r="N24" i="1" s="1"/>
  <c r="O24" i="1" s="1"/>
  <c r="P24" i="1" s="1"/>
  <c r="D14" i="6" l="1"/>
  <c r="C15" i="6"/>
  <c r="D14" i="2"/>
  <c r="C15" i="2"/>
  <c r="I25" i="1"/>
  <c r="J25" i="1" s="1"/>
  <c r="K25" i="1" s="1"/>
  <c r="L25" i="1" s="1"/>
  <c r="M25" i="1" s="1"/>
  <c r="N25" i="1" s="1"/>
  <c r="O25" i="1" s="1"/>
  <c r="C16" i="6" l="1"/>
  <c r="D15" i="6"/>
  <c r="C16" i="2"/>
  <c r="D15" i="2"/>
  <c r="I26" i="1"/>
  <c r="J26" i="1"/>
  <c r="K26" i="1" s="1"/>
  <c r="L26" i="1" s="1"/>
  <c r="M26" i="1" s="1"/>
  <c r="N26" i="1" s="1"/>
  <c r="D16" i="6" l="1"/>
  <c r="C17" i="6"/>
  <c r="D16" i="2"/>
  <c r="C17" i="2"/>
  <c r="C18" i="6" l="1"/>
  <c r="D17" i="6"/>
  <c r="C18" i="2"/>
  <c r="D17" i="2"/>
  <c r="D18" i="6" l="1"/>
  <c r="C19" i="6"/>
  <c r="D18" i="2"/>
  <c r="C19" i="2"/>
  <c r="C20" i="6" l="1"/>
  <c r="D19" i="6"/>
  <c r="C20" i="2"/>
  <c r="D19" i="2"/>
  <c r="D20" i="6" l="1"/>
  <c r="C21" i="6"/>
  <c r="D20" i="2"/>
  <c r="C21" i="2"/>
  <c r="C22" i="6" l="1"/>
  <c r="D21" i="6"/>
  <c r="C22" i="2"/>
  <c r="D21" i="2"/>
  <c r="D22" i="6" l="1"/>
  <c r="C23" i="6"/>
  <c r="C23" i="2"/>
  <c r="D22" i="2"/>
  <c r="C24" i="6" l="1"/>
  <c r="D23" i="6"/>
  <c r="D23" i="2"/>
  <c r="C24" i="2"/>
  <c r="C25" i="6" l="1"/>
  <c r="D24" i="6"/>
  <c r="C25" i="2"/>
  <c r="D24" i="2"/>
  <c r="C26" i="6" l="1"/>
  <c r="D25" i="6"/>
  <c r="C26" i="2"/>
  <c r="D25" i="2"/>
  <c r="C27" i="6" l="1"/>
  <c r="D26" i="6"/>
  <c r="D26" i="2"/>
  <c r="C27" i="2"/>
  <c r="D27" i="6" l="1"/>
  <c r="C28" i="6"/>
  <c r="D27" i="2"/>
  <c r="C28" i="2"/>
  <c r="C29" i="6" l="1"/>
  <c r="D28" i="6"/>
  <c r="C29" i="2"/>
  <c r="D28" i="2"/>
  <c r="C30" i="6" l="1"/>
  <c r="D29" i="6"/>
  <c r="C30" i="2"/>
  <c r="D29" i="2"/>
  <c r="D30" i="6" l="1"/>
  <c r="C31" i="6"/>
  <c r="D30" i="2"/>
  <c r="C31" i="2"/>
  <c r="D31" i="6" l="1"/>
  <c r="C32" i="6"/>
  <c r="D31" i="2"/>
  <c r="C32" i="2"/>
  <c r="D32" i="6" l="1"/>
  <c r="C33" i="6"/>
  <c r="C33" i="2"/>
  <c r="D32" i="2"/>
  <c r="C34" i="6" l="1"/>
  <c r="D33" i="6"/>
  <c r="C34" i="2"/>
  <c r="D33" i="2"/>
  <c r="D34" i="6" l="1"/>
  <c r="C35" i="6"/>
  <c r="D34" i="2"/>
  <c r="C35" i="2"/>
  <c r="D35" i="6" l="1"/>
  <c r="C36" i="6"/>
  <c r="D35" i="2"/>
  <c r="C36" i="2"/>
  <c r="D36" i="6" l="1"/>
  <c r="C37" i="6"/>
  <c r="C37" i="2"/>
  <c r="D36" i="2"/>
  <c r="C38" i="6" l="1"/>
  <c r="D37" i="6"/>
  <c r="C38" i="2"/>
  <c r="D37" i="2"/>
  <c r="D38" i="6" l="1"/>
  <c r="C39" i="6"/>
  <c r="D38" i="2"/>
  <c r="C39" i="2"/>
  <c r="D39" i="6" l="1"/>
  <c r="C40" i="6"/>
  <c r="D39" i="2"/>
  <c r="C40" i="2"/>
  <c r="C41" i="6" l="1"/>
  <c r="D40" i="6"/>
  <c r="I11" i="6" s="1"/>
  <c r="I12" i="6" s="1"/>
  <c r="H2" i="6"/>
  <c r="C41" i="2"/>
  <c r="D40" i="2"/>
  <c r="C42" i="6" l="1"/>
  <c r="D41" i="6"/>
  <c r="I3" i="6" s="1"/>
  <c r="J11" i="6" s="1"/>
  <c r="J12" i="6" s="1"/>
  <c r="H3" i="6"/>
  <c r="C42" i="2"/>
  <c r="D41" i="2"/>
  <c r="D42" i="6" l="1"/>
  <c r="I4" i="6" s="1"/>
  <c r="K11" i="6" s="1"/>
  <c r="K12" i="6" s="1"/>
  <c r="C43" i="6"/>
  <c r="H4" i="6"/>
  <c r="D42" i="2"/>
  <c r="C43" i="2"/>
  <c r="D43" i="6" l="1"/>
  <c r="I5" i="6" s="1"/>
  <c r="L5" i="6" s="1"/>
  <c r="L11" i="6" s="1"/>
  <c r="L12" i="6" s="1"/>
  <c r="C44" i="6"/>
  <c r="H5" i="6"/>
  <c r="D43" i="2"/>
  <c r="C44" i="2"/>
  <c r="C45" i="6" l="1"/>
  <c r="D44" i="6"/>
  <c r="I6" i="6" s="1"/>
  <c r="J6" i="6" s="1"/>
  <c r="K6" i="6" s="1"/>
  <c r="L6" i="6" s="1"/>
  <c r="M6" i="6" s="1"/>
  <c r="M11" i="6" s="1"/>
  <c r="M12" i="6" s="1"/>
  <c r="H6" i="6"/>
  <c r="C45" i="2"/>
  <c r="D44" i="2"/>
  <c r="C46" i="6" l="1"/>
  <c r="D45" i="6"/>
  <c r="I7" i="6" s="1"/>
  <c r="J7" i="6" s="1"/>
  <c r="K7" i="6" s="1"/>
  <c r="L7" i="6" s="1"/>
  <c r="M7" i="6" s="1"/>
  <c r="N7" i="6" s="1"/>
  <c r="N11" i="6" s="1"/>
  <c r="N12" i="6" s="1"/>
  <c r="H7" i="6"/>
  <c r="C46" i="2"/>
  <c r="D45" i="2"/>
  <c r="D46" i="6" l="1"/>
  <c r="I8" i="6" s="1"/>
  <c r="J8" i="6" s="1"/>
  <c r="K8" i="6" s="1"/>
  <c r="L8" i="6" s="1"/>
  <c r="M8" i="6" s="1"/>
  <c r="N8" i="6" s="1"/>
  <c r="O8" i="6" s="1"/>
  <c r="O11" i="6" s="1"/>
  <c r="O12" i="6" s="1"/>
  <c r="C47" i="6"/>
  <c r="H8" i="6"/>
  <c r="D46" i="2"/>
  <c r="C47" i="2"/>
  <c r="D47" i="6" l="1"/>
  <c r="I9" i="6" s="1"/>
  <c r="M9" i="6" s="1"/>
  <c r="N9" i="6" s="1"/>
  <c r="O9" i="6" s="1"/>
  <c r="P9" i="6" s="1"/>
  <c r="P11" i="6" s="1"/>
  <c r="P12" i="6" s="1"/>
  <c r="I24" i="6" s="1"/>
  <c r="C48" i="6"/>
  <c r="H9" i="6"/>
  <c r="D47" i="2"/>
  <c r="C48" i="2"/>
  <c r="D48" i="6" l="1"/>
  <c r="C49" i="6"/>
  <c r="I25" i="6"/>
  <c r="J24" i="6"/>
  <c r="K24" i="6" s="1"/>
  <c r="L24" i="6" s="1"/>
  <c r="M24" i="6" s="1"/>
  <c r="N24" i="6" s="1"/>
  <c r="O24" i="6" s="1"/>
  <c r="P24" i="6" s="1"/>
  <c r="C49" i="2"/>
  <c r="D48" i="2"/>
  <c r="I26" i="6" l="1"/>
  <c r="J25" i="6"/>
  <c r="K25" i="6" s="1"/>
  <c r="L25" i="6" s="1"/>
  <c r="M25" i="6" s="1"/>
  <c r="N25" i="6" s="1"/>
  <c r="O25" i="6" s="1"/>
  <c r="C50" i="6"/>
  <c r="D49" i="6"/>
  <c r="C50" i="2"/>
  <c r="D49" i="2"/>
  <c r="D50" i="6" l="1"/>
  <c r="C51" i="6"/>
  <c r="I27" i="6"/>
  <c r="J26" i="6"/>
  <c r="D50" i="2"/>
  <c r="C51" i="2"/>
  <c r="J27" i="6" l="1"/>
  <c r="K26" i="6"/>
  <c r="D51" i="6"/>
  <c r="C52" i="6"/>
  <c r="D51" i="2"/>
  <c r="C52" i="2"/>
  <c r="D52" i="6" l="1"/>
  <c r="C53" i="6"/>
  <c r="K27" i="6"/>
  <c r="L26" i="6"/>
  <c r="C53" i="2"/>
  <c r="D52" i="2"/>
  <c r="L27" i="6" l="1"/>
  <c r="M26" i="6"/>
  <c r="C54" i="6"/>
  <c r="D53" i="6"/>
  <c r="C54" i="2"/>
  <c r="D53" i="2"/>
  <c r="D54" i="6" l="1"/>
  <c r="C55" i="6"/>
  <c r="M27" i="6"/>
  <c r="N26" i="6"/>
  <c r="D54" i="2"/>
  <c r="C55" i="2"/>
  <c r="D55" i="6" l="1"/>
  <c r="C56" i="6"/>
  <c r="D55" i="2"/>
  <c r="C56" i="2"/>
  <c r="D56" i="6" l="1"/>
  <c r="C57" i="6"/>
  <c r="C57" i="2"/>
  <c r="D56" i="2"/>
  <c r="C58" i="6" l="1"/>
  <c r="D57" i="6"/>
  <c r="C58" i="2"/>
  <c r="D57" i="2"/>
  <c r="D58" i="6" l="1"/>
  <c r="C59" i="6"/>
  <c r="D58" i="2"/>
  <c r="C59" i="2"/>
  <c r="D59" i="6" l="1"/>
  <c r="C60" i="6"/>
  <c r="D59" i="2"/>
  <c r="C60" i="2"/>
  <c r="C61" i="6" l="1"/>
  <c r="D60" i="6"/>
  <c r="C61" i="2"/>
  <c r="D60" i="2"/>
  <c r="C62" i="6" l="1"/>
  <c r="D61" i="6"/>
  <c r="C62" i="2"/>
  <c r="D61" i="2"/>
  <c r="D62" i="6" l="1"/>
  <c r="C63" i="6"/>
  <c r="D62" i="2"/>
  <c r="C63" i="2"/>
  <c r="D63" i="6" l="1"/>
  <c r="C64" i="6"/>
  <c r="D63" i="2"/>
  <c r="C64" i="2"/>
  <c r="D64" i="6" l="1"/>
  <c r="C65" i="6"/>
  <c r="C65" i="2"/>
  <c r="D64" i="2"/>
  <c r="C66" i="6" l="1"/>
  <c r="D65" i="6"/>
  <c r="C66" i="2"/>
  <c r="D65" i="2"/>
  <c r="D66" i="6" l="1"/>
  <c r="C67" i="6"/>
  <c r="D66" i="2"/>
  <c r="C67" i="2"/>
  <c r="D67" i="6" l="1"/>
  <c r="C68" i="6"/>
  <c r="D67" i="2"/>
  <c r="C68" i="2"/>
  <c r="C69" i="6" l="1"/>
  <c r="D68" i="6"/>
  <c r="C69" i="2"/>
  <c r="D68" i="2"/>
  <c r="C70" i="6" l="1"/>
  <c r="D69" i="6"/>
  <c r="C70" i="2"/>
  <c r="D69" i="2"/>
  <c r="D70" i="6" l="1"/>
  <c r="C71" i="6"/>
  <c r="D70" i="2"/>
  <c r="C71" i="2"/>
  <c r="D71" i="6" l="1"/>
  <c r="C72" i="6"/>
  <c r="D71" i="2"/>
  <c r="C72" i="2"/>
  <c r="D72" i="6" l="1"/>
  <c r="C73" i="6"/>
  <c r="C73" i="2"/>
  <c r="D72" i="2"/>
  <c r="C74" i="6" l="1"/>
  <c r="D73" i="6"/>
  <c r="C74" i="2"/>
  <c r="D73" i="2"/>
  <c r="D74" i="6" l="1"/>
  <c r="C75" i="6"/>
  <c r="D74" i="2"/>
  <c r="C75" i="2"/>
  <c r="D75" i="6" l="1"/>
  <c r="C76" i="6"/>
  <c r="D75" i="2"/>
  <c r="C76" i="2"/>
  <c r="D76" i="6" l="1"/>
  <c r="C77" i="6"/>
  <c r="C77" i="2"/>
  <c r="D76" i="2"/>
  <c r="C78" i="6" l="1"/>
  <c r="D77" i="6"/>
  <c r="C78" i="2"/>
  <c r="D77" i="2"/>
  <c r="D78" i="6" l="1"/>
  <c r="C79" i="6"/>
  <c r="D78" i="2"/>
  <c r="C79" i="2"/>
  <c r="D79" i="6" l="1"/>
  <c r="C80" i="6"/>
  <c r="D79" i="2"/>
  <c r="C80" i="2"/>
  <c r="C81" i="6" l="1"/>
  <c r="D80" i="6"/>
  <c r="C81" i="2"/>
  <c r="D80" i="2"/>
  <c r="C82" i="6" l="1"/>
  <c r="D81" i="6"/>
  <c r="C82" i="2"/>
  <c r="D81" i="2"/>
  <c r="D82" i="6" l="1"/>
  <c r="C83" i="6"/>
  <c r="D82" i="2"/>
  <c r="C83" i="2"/>
  <c r="D83" i="6" l="1"/>
  <c r="C84" i="6"/>
  <c r="D83" i="2"/>
  <c r="C84" i="2"/>
  <c r="C85" i="6" l="1"/>
  <c r="D84" i="6"/>
  <c r="C85" i="2"/>
  <c r="D84" i="2"/>
  <c r="C86" i="6" l="1"/>
  <c r="D85" i="6"/>
  <c r="C86" i="2"/>
  <c r="D85" i="2"/>
  <c r="D86" i="6" l="1"/>
  <c r="C87" i="6"/>
  <c r="D86" i="2"/>
  <c r="C87" i="2"/>
  <c r="D87" i="6" l="1"/>
  <c r="C88" i="6"/>
  <c r="D87" i="2"/>
  <c r="C88" i="2"/>
  <c r="D88" i="6" l="1"/>
  <c r="C89" i="6"/>
  <c r="C89" i="2"/>
  <c r="D88" i="2"/>
  <c r="C90" i="6" l="1"/>
  <c r="D89" i="6"/>
  <c r="C90" i="2"/>
  <c r="D89" i="2"/>
  <c r="D90" i="6" l="1"/>
  <c r="C91" i="6"/>
  <c r="D90" i="2"/>
  <c r="C91" i="2"/>
  <c r="D91" i="6" l="1"/>
  <c r="C92" i="6"/>
  <c r="D91" i="2"/>
  <c r="C92" i="2"/>
  <c r="D92" i="6" l="1"/>
  <c r="C93" i="6"/>
  <c r="C93" i="2"/>
  <c r="D92" i="2"/>
  <c r="C94" i="6" l="1"/>
  <c r="D93" i="6"/>
  <c r="C94" i="2"/>
  <c r="D93" i="2"/>
  <c r="D94" i="6" l="1"/>
  <c r="C95" i="6"/>
  <c r="D94" i="2"/>
  <c r="C95" i="2"/>
  <c r="D95" i="6" l="1"/>
  <c r="C96" i="6"/>
  <c r="D95" i="2"/>
  <c r="C96" i="2"/>
  <c r="C97" i="6" l="1"/>
  <c r="D96" i="6"/>
  <c r="C97" i="2"/>
  <c r="D96" i="2"/>
  <c r="C98" i="6" l="1"/>
  <c r="D97" i="6"/>
  <c r="C98" i="2"/>
  <c r="D97" i="2"/>
  <c r="D98" i="6" l="1"/>
  <c r="C99" i="6"/>
  <c r="D98" i="2"/>
  <c r="C99" i="2"/>
  <c r="D99" i="6" l="1"/>
  <c r="C100" i="6"/>
  <c r="D99" i="2"/>
  <c r="C100" i="2"/>
  <c r="D100" i="6" l="1"/>
  <c r="C101" i="6"/>
  <c r="C101" i="2"/>
  <c r="D100" i="2"/>
  <c r="C102" i="6" l="1"/>
  <c r="D101" i="6"/>
  <c r="C102" i="2"/>
  <c r="D101" i="2"/>
  <c r="D102" i="6" l="1"/>
  <c r="C103" i="6"/>
  <c r="D102" i="2"/>
  <c r="C103" i="2"/>
  <c r="D103" i="6" l="1"/>
  <c r="C104" i="6"/>
  <c r="D103" i="2"/>
  <c r="C104" i="2"/>
  <c r="C105" i="6" l="1"/>
  <c r="D104" i="6"/>
  <c r="C105" i="2"/>
  <c r="D104" i="2"/>
  <c r="C106" i="6" l="1"/>
  <c r="D105" i="6"/>
  <c r="C106" i="2"/>
  <c r="D105" i="2"/>
  <c r="D106" i="6" l="1"/>
  <c r="C107" i="6"/>
  <c r="D106" i="2"/>
  <c r="C107" i="2"/>
  <c r="D107" i="6" l="1"/>
  <c r="C108" i="6"/>
  <c r="D107" i="2"/>
  <c r="C108" i="2"/>
  <c r="D108" i="6" l="1"/>
  <c r="C109" i="6"/>
  <c r="C109" i="2"/>
  <c r="D108" i="2"/>
  <c r="C110" i="6" l="1"/>
  <c r="D109" i="6"/>
  <c r="C110" i="2"/>
  <c r="D109" i="2"/>
  <c r="D110" i="6" l="1"/>
  <c r="C111" i="6"/>
  <c r="D110" i="2"/>
  <c r="C111" i="2"/>
  <c r="C112" i="6" l="1"/>
  <c r="D111" i="6"/>
  <c r="D111" i="2"/>
  <c r="C112" i="2"/>
  <c r="D112" i="6" l="1"/>
  <c r="C113" i="6"/>
  <c r="C113" i="2"/>
  <c r="D112" i="2"/>
  <c r="C114" i="6" l="1"/>
  <c r="D113" i="6"/>
  <c r="C114" i="2"/>
  <c r="D113" i="2"/>
  <c r="D114" i="6" l="1"/>
  <c r="C115" i="6"/>
  <c r="D114" i="2"/>
  <c r="C115" i="2"/>
  <c r="D115" i="6" l="1"/>
  <c r="C116" i="6"/>
  <c r="D115" i="2"/>
  <c r="C116" i="2"/>
  <c r="C117" i="6" l="1"/>
  <c r="D116" i="6"/>
  <c r="C117" i="2"/>
  <c r="D116" i="2"/>
  <c r="C118" i="6" l="1"/>
  <c r="D117" i="6"/>
  <c r="C118" i="2"/>
  <c r="D117" i="2"/>
  <c r="D118" i="6" l="1"/>
  <c r="C119" i="6"/>
  <c r="D118" i="2"/>
  <c r="C119" i="2"/>
  <c r="C120" i="6" l="1"/>
  <c r="D119" i="6"/>
  <c r="D119" i="2"/>
  <c r="I2" i="2" s="1"/>
  <c r="I11" i="2" s="1"/>
  <c r="I12" i="2" s="1"/>
  <c r="C120" i="2"/>
  <c r="H2" i="2"/>
  <c r="H24" i="2" s="1"/>
  <c r="C121" i="6" l="1"/>
  <c r="D120" i="6"/>
  <c r="D120" i="2"/>
  <c r="I3" i="2" s="1"/>
  <c r="J3" i="2" s="1"/>
  <c r="J11" i="2" s="1"/>
  <c r="J12" i="2" s="1"/>
  <c r="C121" i="2"/>
  <c r="H3" i="2"/>
  <c r="C122" i="6" l="1"/>
  <c r="D121" i="6"/>
  <c r="C122" i="2"/>
  <c r="D121" i="2"/>
  <c r="I4" i="2" s="1"/>
  <c r="J4" i="2" s="1"/>
  <c r="K4" i="2" s="1"/>
  <c r="K11" i="2" s="1"/>
  <c r="K12" i="2" s="1"/>
  <c r="H4" i="2"/>
  <c r="D122" i="6" l="1"/>
  <c r="C123" i="6"/>
  <c r="D122" i="2"/>
  <c r="I5" i="2" s="1"/>
  <c r="J5" i="2" s="1"/>
  <c r="K5" i="2" s="1"/>
  <c r="L5" i="2" s="1"/>
  <c r="L11" i="2" s="1"/>
  <c r="L12" i="2" s="1"/>
  <c r="C123" i="2"/>
  <c r="H5" i="2"/>
  <c r="D123" i="6" l="1"/>
  <c r="C124" i="6"/>
  <c r="D123" i="2"/>
  <c r="I6" i="2" s="1"/>
  <c r="J6" i="2" s="1"/>
  <c r="K6" i="2" s="1"/>
  <c r="L6" i="2" s="1"/>
  <c r="M6" i="2" s="1"/>
  <c r="M11" i="2" s="1"/>
  <c r="M12" i="2" s="1"/>
  <c r="H6" i="2"/>
  <c r="C124" i="2"/>
  <c r="D124" i="6" l="1"/>
  <c r="C125" i="6"/>
  <c r="C125" i="2"/>
  <c r="D124" i="2"/>
  <c r="I7" i="2" s="1"/>
  <c r="J7" i="2" s="1"/>
  <c r="K7" i="2" s="1"/>
  <c r="L7" i="2" s="1"/>
  <c r="M7" i="2" s="1"/>
  <c r="N7" i="2" s="1"/>
  <c r="N11" i="2" s="1"/>
  <c r="N12" i="2" s="1"/>
  <c r="H7" i="2"/>
  <c r="C126" i="6" l="1"/>
  <c r="D125" i="6"/>
  <c r="C126" i="2"/>
  <c r="D125" i="2"/>
  <c r="I8" i="2" s="1"/>
  <c r="J8" i="2" s="1"/>
  <c r="K8" i="2" s="1"/>
  <c r="L8" i="2" s="1"/>
  <c r="M8" i="2" s="1"/>
  <c r="N8" i="2" s="1"/>
  <c r="O8" i="2" s="1"/>
  <c r="O11" i="2" s="1"/>
  <c r="O12" i="2" s="1"/>
  <c r="H8" i="2"/>
  <c r="D126" i="6" l="1"/>
  <c r="C127" i="6"/>
  <c r="D126" i="2"/>
  <c r="I9" i="2" s="1"/>
  <c r="J9" i="2" s="1"/>
  <c r="K9" i="2" s="1"/>
  <c r="L9" i="2" s="1"/>
  <c r="M9" i="2" s="1"/>
  <c r="N9" i="2" s="1"/>
  <c r="O9" i="2" s="1"/>
  <c r="P9" i="2" s="1"/>
  <c r="P11" i="2" s="1"/>
  <c r="P12" i="2" s="1"/>
  <c r="I23" i="2" s="1" a="1"/>
  <c r="I23" i="2" s="1"/>
  <c r="I24" i="2" s="1"/>
  <c r="H9" i="2"/>
  <c r="C127" i="2"/>
  <c r="D127" i="6" l="1"/>
  <c r="C128" i="6"/>
  <c r="D127" i="2"/>
  <c r="C128" i="2"/>
  <c r="I25" i="2"/>
  <c r="J24" i="2"/>
  <c r="K24" i="2" s="1"/>
  <c r="L24" i="2" s="1"/>
  <c r="M24" i="2" s="1"/>
  <c r="N24" i="2" s="1"/>
  <c r="O24" i="2" s="1"/>
  <c r="P24" i="2" s="1"/>
  <c r="D128" i="6" l="1"/>
  <c r="C129" i="6"/>
  <c r="I26" i="2"/>
  <c r="J25" i="2"/>
  <c r="K25" i="2" s="1"/>
  <c r="L25" i="2" s="1"/>
  <c r="M25" i="2" s="1"/>
  <c r="N25" i="2" s="1"/>
  <c r="O25" i="2" s="1"/>
  <c r="P25" i="2" s="1"/>
  <c r="D128" i="2"/>
  <c r="C129" i="2"/>
  <c r="C130" i="6" l="1"/>
  <c r="D129" i="6"/>
  <c r="J26" i="2"/>
  <c r="K26" i="2" s="1"/>
  <c r="L26" i="2" s="1"/>
  <c r="M26" i="2" s="1"/>
  <c r="N26" i="2" s="1"/>
  <c r="P26" i="2" s="1"/>
  <c r="C130" i="2"/>
  <c r="D129" i="2"/>
  <c r="D130" i="6" l="1"/>
  <c r="C131" i="6"/>
  <c r="D130" i="2"/>
  <c r="C131" i="2"/>
  <c r="D131" i="6" l="1"/>
  <c r="C132" i="6"/>
  <c r="D131" i="2"/>
  <c r="C132" i="2"/>
  <c r="C133" i="6" l="1"/>
  <c r="D132" i="6"/>
  <c r="D132" i="2"/>
  <c r="C133" i="2"/>
  <c r="C134" i="6" l="1"/>
  <c r="D133" i="6"/>
  <c r="C134" i="2"/>
  <c r="D133" i="2"/>
  <c r="D134" i="6" l="1"/>
  <c r="C135" i="6"/>
  <c r="D134" i="2"/>
  <c r="C135" i="2"/>
  <c r="D135" i="6" l="1"/>
  <c r="C136" i="6"/>
  <c r="D135" i="2"/>
  <c r="C136" i="2"/>
  <c r="D136" i="6" l="1"/>
  <c r="C137" i="6"/>
  <c r="D136" i="2"/>
  <c r="C137" i="2"/>
  <c r="C138" i="6" l="1"/>
  <c r="D137" i="6"/>
  <c r="C138" i="2"/>
  <c r="D137" i="2"/>
  <c r="D138" i="6" l="1"/>
  <c r="C139" i="6"/>
  <c r="D138" i="2"/>
  <c r="C139" i="2"/>
  <c r="C140" i="6" l="1"/>
  <c r="D139" i="6"/>
  <c r="D139" i="2"/>
  <c r="C140" i="2"/>
  <c r="C141" i="6" l="1"/>
  <c r="D140" i="6"/>
  <c r="D140" i="2"/>
  <c r="C141" i="2"/>
  <c r="C142" i="6" l="1"/>
  <c r="D141" i="6"/>
  <c r="C142" i="2"/>
  <c r="D141" i="2"/>
  <c r="D142" i="6" l="1"/>
  <c r="C143" i="6"/>
  <c r="D142" i="2"/>
  <c r="C143" i="2"/>
  <c r="C144" i="6" l="1"/>
  <c r="D143" i="6"/>
  <c r="D143" i="2"/>
  <c r="C144" i="2"/>
  <c r="D144" i="6" l="1"/>
  <c r="C145" i="6"/>
  <c r="D144" i="2"/>
  <c r="C145" i="2"/>
  <c r="C146" i="6" l="1"/>
  <c r="D145" i="6"/>
  <c r="C146" i="2"/>
  <c r="D145" i="2"/>
  <c r="D146" i="6" l="1"/>
  <c r="C147" i="6"/>
  <c r="D146" i="2"/>
  <c r="C147" i="2"/>
  <c r="D147" i="6" l="1"/>
  <c r="C148" i="6"/>
  <c r="D147" i="2"/>
  <c r="C148" i="2"/>
  <c r="D148" i="6" l="1"/>
  <c r="C149" i="6"/>
  <c r="D148" i="2"/>
  <c r="C149" i="2"/>
  <c r="C150" i="6" l="1"/>
  <c r="D149" i="6"/>
  <c r="C150" i="2"/>
  <c r="D149" i="2"/>
  <c r="D150" i="6" l="1"/>
  <c r="C151" i="6"/>
  <c r="D150" i="2"/>
  <c r="C151" i="2"/>
  <c r="C152" i="6" l="1"/>
  <c r="D151" i="6"/>
  <c r="D151" i="2"/>
  <c r="C152" i="2"/>
  <c r="C153" i="6" l="1"/>
  <c r="D152" i="6"/>
  <c r="D152" i="2"/>
  <c r="C153" i="2"/>
  <c r="C154" i="6" l="1"/>
  <c r="D153" i="6"/>
  <c r="C154" i="2"/>
  <c r="D153" i="2"/>
  <c r="D154" i="6" l="1"/>
  <c r="C155" i="6"/>
  <c r="D154" i="2"/>
  <c r="C155" i="2"/>
  <c r="C156" i="6" l="1"/>
  <c r="D155" i="6"/>
  <c r="D155" i="2"/>
  <c r="C156" i="2"/>
  <c r="C157" i="6" l="1"/>
  <c r="D156" i="6"/>
  <c r="D156" i="2"/>
  <c r="C157" i="2"/>
  <c r="C158" i="6" l="1"/>
  <c r="D157" i="6"/>
  <c r="C158" i="2"/>
  <c r="D157" i="2"/>
  <c r="D158" i="6" l="1"/>
  <c r="C159" i="6"/>
  <c r="D158" i="2"/>
  <c r="C159" i="2"/>
  <c r="C160" i="6" l="1"/>
  <c r="D159" i="6"/>
  <c r="D159" i="2"/>
  <c r="C160" i="2"/>
  <c r="D160" i="6" l="1"/>
  <c r="C161" i="6"/>
  <c r="D160" i="2"/>
  <c r="C161" i="2"/>
  <c r="C162" i="6" l="1"/>
  <c r="D161" i="6"/>
  <c r="C162" i="2"/>
  <c r="D161" i="2"/>
  <c r="D162" i="6" l="1"/>
  <c r="C163" i="6"/>
  <c r="D162" i="2"/>
  <c r="C163" i="2"/>
  <c r="D163" i="6" l="1"/>
  <c r="C164" i="6"/>
  <c r="D163" i="2"/>
  <c r="C164" i="2"/>
  <c r="D164" i="6" l="1"/>
  <c r="C165" i="6"/>
  <c r="D164" i="2"/>
  <c r="C165" i="2"/>
  <c r="C166" i="6" l="1"/>
  <c r="D165" i="6"/>
  <c r="C166" i="2"/>
  <c r="D165" i="2"/>
  <c r="D166" i="6" l="1"/>
  <c r="C167" i="6"/>
  <c r="D166" i="2"/>
  <c r="C167" i="2"/>
  <c r="C168" i="6" l="1"/>
  <c r="D167" i="6"/>
  <c r="D167" i="2"/>
  <c r="C168" i="2"/>
  <c r="C169" i="6" l="1"/>
  <c r="D168" i="6"/>
  <c r="D168" i="2"/>
  <c r="C169" i="2"/>
  <c r="C170" i="6" l="1"/>
  <c r="D169" i="6"/>
  <c r="C170" i="2"/>
  <c r="D169" i="2"/>
  <c r="D170" i="6" l="1"/>
  <c r="C171" i="6"/>
  <c r="D170" i="2"/>
  <c r="C171" i="2"/>
  <c r="C172" i="6" l="1"/>
  <c r="D171" i="6"/>
  <c r="D171" i="2"/>
  <c r="C172" i="2"/>
  <c r="D172" i="6" l="1"/>
  <c r="C173" i="6"/>
  <c r="D172" i="2"/>
  <c r="C173" i="2"/>
  <c r="C174" i="6" l="1"/>
  <c r="D173" i="6"/>
  <c r="C174" i="2"/>
  <c r="D173" i="2"/>
  <c r="D174" i="6" l="1"/>
  <c r="C175" i="6"/>
  <c r="D174" i="2"/>
  <c r="C175" i="2"/>
  <c r="D175" i="6" l="1"/>
  <c r="C176" i="6"/>
  <c r="D175" i="2"/>
  <c r="C176" i="2"/>
  <c r="D176" i="6" l="1"/>
  <c r="C177" i="6"/>
  <c r="D176" i="2"/>
  <c r="C177" i="2"/>
  <c r="C178" i="6" l="1"/>
  <c r="D177" i="6"/>
  <c r="C178" i="2"/>
  <c r="D177" i="2"/>
  <c r="D178" i="6" l="1"/>
  <c r="C179" i="6"/>
  <c r="D178" i="2"/>
  <c r="C179" i="2"/>
  <c r="D179" i="6" l="1"/>
  <c r="C180" i="6"/>
  <c r="D179" i="2"/>
  <c r="C180" i="2"/>
  <c r="C181" i="6" l="1"/>
  <c r="D180" i="6"/>
  <c r="D180" i="2"/>
  <c r="C181" i="2"/>
  <c r="C182" i="6" l="1"/>
  <c r="D181" i="6"/>
  <c r="C182" i="2"/>
  <c r="D181" i="2"/>
  <c r="D182" i="6" l="1"/>
  <c r="C183" i="6"/>
  <c r="D182" i="2"/>
  <c r="C183" i="2"/>
  <c r="D183" i="6" l="1"/>
  <c r="C184" i="6"/>
  <c r="D183" i="2"/>
  <c r="C184" i="2"/>
  <c r="C185" i="6" l="1"/>
  <c r="D184" i="6"/>
  <c r="C185" i="2"/>
  <c r="D184" i="2"/>
  <c r="C186" i="6" l="1"/>
  <c r="D185" i="6"/>
  <c r="C186" i="2"/>
  <c r="D185" i="2"/>
  <c r="D186" i="6" l="1"/>
  <c r="C187" i="6"/>
  <c r="D186" i="2"/>
  <c r="C187" i="2"/>
  <c r="C188" i="6" l="1"/>
  <c r="D187" i="6"/>
  <c r="D187" i="2"/>
  <c r="C188" i="2"/>
  <c r="D188" i="6" l="1"/>
  <c r="C189" i="6"/>
  <c r="D188" i="2"/>
  <c r="C189" i="2"/>
  <c r="C190" i="6" l="1"/>
  <c r="D189" i="6"/>
  <c r="C190" i="2"/>
  <c r="D189" i="2"/>
  <c r="D190" i="6" l="1"/>
  <c r="C191" i="6"/>
  <c r="D190" i="2"/>
  <c r="C191" i="2"/>
  <c r="C192" i="6" l="1"/>
  <c r="D191" i="6"/>
  <c r="D191" i="2"/>
  <c r="C192" i="2"/>
  <c r="C193" i="6" l="1"/>
  <c r="D192" i="6"/>
  <c r="D192" i="2"/>
  <c r="C193" i="2"/>
  <c r="C194" i="6" l="1"/>
  <c r="D193" i="6"/>
  <c r="C194" i="2"/>
  <c r="D193" i="2"/>
  <c r="D194" i="6" l="1"/>
  <c r="C195" i="6"/>
  <c r="D194" i="2"/>
  <c r="C195" i="2"/>
  <c r="D195" i="6" l="1"/>
  <c r="C196" i="6"/>
  <c r="D195" i="2"/>
  <c r="C196" i="2"/>
  <c r="D196" i="6" l="1"/>
  <c r="C197" i="6"/>
  <c r="D196" i="2"/>
  <c r="C197" i="2"/>
  <c r="C198" i="6" l="1"/>
  <c r="D197" i="6"/>
  <c r="C198" i="2"/>
  <c r="D197" i="2"/>
  <c r="D198" i="6" l="1"/>
  <c r="C199" i="6"/>
  <c r="D198" i="2"/>
  <c r="C199" i="2"/>
  <c r="C200" i="6" l="1"/>
  <c r="D199" i="6"/>
  <c r="D199" i="2"/>
  <c r="C200" i="2"/>
  <c r="D200" i="6" l="1"/>
  <c r="C201" i="6"/>
  <c r="D200" i="2"/>
  <c r="C201" i="2"/>
  <c r="C202" i="6" l="1"/>
  <c r="D202" i="6" s="1"/>
  <c r="D201" i="6"/>
  <c r="C202" i="2"/>
  <c r="D202" i="2" s="1"/>
  <c r="D2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<sst xmlns="http://schemas.openxmlformats.org/spreadsheetml/2006/main" count="18" uniqueCount="10">
  <si>
    <t>h</t>
  </si>
  <si>
    <t>P(x)</t>
  </si>
  <si>
    <t>P'(x)</t>
  </si>
  <si>
    <t>P"(x)</t>
  </si>
  <si>
    <t>y</t>
  </si>
  <si>
    <t>Dy</t>
  </si>
  <si>
    <t>F(x)</t>
  </si>
  <si>
    <t>F'(x)</t>
  </si>
  <si>
    <t>F''(x)</t>
  </si>
  <si>
    <t>F'''(x)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</si>
</sst>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164" fontId="0" fillId="0" borderId="9" xfId="0" applyNumberFormat="1" applyBorder="1"/>
    <xf numFmtId="164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12" xfId="0" applyFont="1" applyBorder="1"/>
    <xf numFmtId="0" fontId="3" fillId="0" borderId="14" xfId="0" applyFont="1" applyBorder="1"/>
    <xf numFmtId="0" fontId="3" fillId="0" borderId="16" xfId="0" applyFont="1" applyBorder="1"/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0" xfId="0" applyFill="1"/>
    <xf numFmtId="164" fontId="2" fillId="0" borderId="18" xfId="0" applyNumberFormat="1" applyFont="1" applyBorder="1"/>
    <xf numFmtId="164" fontId="2" fillId="0" borderId="19" xfId="0" applyNumberFormat="1" applyFont="1" applyBorder="1"/>
    <xf numFmtId="0" fontId="2" fillId="0" borderId="19" xfId="0" applyFont="1" applyBorder="1"/>
    <xf numFmtId="0" fontId="2" fillId="0" borderId="20" xfId="0" applyFont="1" applyBorder="1"/>
    <xf numFmtId="0" fontId="0" fillId="0" borderId="12" xfId="0" applyBorder="1"/>
    <xf numFmtId="0" fontId="0" fillId="0" borderId="2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2" xfId="0" applyBorder="1"/>
    <xf numFmtId="0" fontId="0" fillId="0" borderId="17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E04B-058D-48B7-951D-18E29C85D8D6}">
  <dimension ref="B1:R203"/>
  <sheetViews>
    <sheetView topLeftCell="A4" zoomScale="72" workbookViewId="0">
      <selection activeCell="P26" sqref="P26"/>
    </sheetView>
  </sheetViews>
  <sheetFormatPr defaultRowHeight="14.5" x14ac:dyDescent="0.35"/>
  <cols>
    <col min="4" max="4" width="12" bestFit="1" customWidth="1"/>
    <col min="9" max="9" width="11.81640625" bestFit="1" customWidth="1"/>
    <col min="10" max="10" width="12.453125" bestFit="1" customWidth="1"/>
    <col min="11" max="13" width="12" bestFit="1" customWidth="1"/>
    <col min="14" max="14" width="12.1796875" bestFit="1" customWidth="1"/>
    <col min="15" max="15" width="12.81640625" bestFit="1" customWidth="1"/>
    <col min="16" max="16" width="12.1796875" bestFit="1" customWidth="1"/>
  </cols>
  <sheetData>
    <row r="1" spans="2:18" x14ac:dyDescent="0.35">
      <c r="B1" t="s">
        <v>0</v>
      </c>
      <c r="C1">
        <v>0.11799999999999999</v>
      </c>
      <c r="D1" t="s">
        <v>4</v>
      </c>
      <c r="E1" s="1">
        <v>15.237</v>
      </c>
      <c r="F1" s="1">
        <f>(E1-C2)/C1</f>
        <v>120.65254237288136</v>
      </c>
      <c r="R1">
        <f>5+27*10^(-2)+7033*10^(-4)</f>
        <v>5.9733000000000001</v>
      </c>
    </row>
    <row r="2" spans="2:18" x14ac:dyDescent="0.35">
      <c r="B2">
        <v>0</v>
      </c>
      <c r="C2">
        <v>1</v>
      </c>
      <c r="D2" s="2">
        <f>ROUND(POWER(C2,1/4)+2*SIN(C2)-3*COS(C2),4)</f>
        <v>1.0620000000000001</v>
      </c>
      <c r="F2">
        <v>8</v>
      </c>
      <c r="G2">
        <f>ROUND(F1-F2/2,0.5)</f>
        <v>117</v>
      </c>
      <c r="H2">
        <f>VLOOKUP(G2,B2:D202,2)</f>
        <v>14.806000000000026</v>
      </c>
      <c r="I2" s="2">
        <f>VLOOKUP(G2,B2:D202,3)</f>
        <v>5.3909000000000002</v>
      </c>
      <c r="J2" s="11"/>
      <c r="K2" s="11"/>
      <c r="L2" s="11"/>
      <c r="M2" s="11"/>
      <c r="N2" s="11"/>
      <c r="O2" s="11"/>
      <c r="P2" s="11"/>
    </row>
    <row r="3" spans="2:18" x14ac:dyDescent="0.35">
      <c r="B3">
        <v>1</v>
      </c>
      <c r="C3">
        <f>B3+$C$1</f>
        <v>1.1179999999999999</v>
      </c>
      <c r="D3" s="2">
        <f t="shared" ref="D3:D66" si="0">ROUND(POWER(C3,1/4)+2*SIN(C3)-3*COS(C3),4)</f>
        <v>1.5143</v>
      </c>
      <c r="G3">
        <v>118</v>
      </c>
      <c r="H3">
        <f t="shared" ref="H3:H9" si="1">VLOOKUP(G3,B3:D203,2)</f>
        <v>14.924000000000026</v>
      </c>
      <c r="I3" s="2">
        <f t="shared" ref="I3:I9" si="2">VLOOKUP(G3,B3:D203,3)</f>
        <v>5.5019999999999998</v>
      </c>
      <c r="J3" s="11">
        <f>I3-I2</f>
        <v>0.11109999999999953</v>
      </c>
      <c r="K3" s="11"/>
      <c r="L3" s="11"/>
      <c r="M3" s="11"/>
      <c r="N3" s="11"/>
      <c r="O3" s="11"/>
      <c r="P3" s="11"/>
    </row>
    <row r="4" spans="2:18" x14ac:dyDescent="0.35">
      <c r="B4">
        <v>2</v>
      </c>
      <c r="C4">
        <f>C3+$C$1</f>
        <v>1.2359999999999998</v>
      </c>
      <c r="D4" s="2">
        <f t="shared" si="0"/>
        <v>1.9576</v>
      </c>
      <c r="G4">
        <v>119</v>
      </c>
      <c r="H4">
        <f t="shared" si="1"/>
        <v>15.042000000000026</v>
      </c>
      <c r="I4" s="2">
        <f t="shared" si="2"/>
        <v>5.5640000000000001</v>
      </c>
      <c r="J4" s="11">
        <f t="shared" ref="J4:O9" si="3">I4-I3</f>
        <v>6.2000000000000277E-2</v>
      </c>
      <c r="K4" s="11">
        <f t="shared" si="3"/>
        <v>-4.9099999999999255E-2</v>
      </c>
      <c r="L4" s="11"/>
      <c r="M4" s="11"/>
      <c r="N4" s="11"/>
      <c r="O4" s="11"/>
      <c r="P4" s="11"/>
    </row>
    <row r="5" spans="2:18" x14ac:dyDescent="0.35">
      <c r="B5">
        <v>3</v>
      </c>
      <c r="C5">
        <f t="shared" ref="C5:C68" si="4">C4+$C$1</f>
        <v>1.3539999999999996</v>
      </c>
      <c r="D5" s="2">
        <f t="shared" si="0"/>
        <v>2.3866000000000001</v>
      </c>
      <c r="G5">
        <v>120</v>
      </c>
      <c r="H5">
        <f t="shared" si="1"/>
        <v>15.160000000000027</v>
      </c>
      <c r="I5" s="2">
        <f t="shared" si="2"/>
        <v>5.5758999999999999</v>
      </c>
      <c r="J5" s="11">
        <f t="shared" si="3"/>
        <v>1.18999999999998E-2</v>
      </c>
      <c r="K5" s="11">
        <f>J5-J4</f>
        <v>-5.0100000000000477E-2</v>
      </c>
      <c r="L5" s="11">
        <f t="shared" si="3"/>
        <v>-1.0000000000012221E-3</v>
      </c>
      <c r="M5" s="11"/>
      <c r="N5" s="11"/>
      <c r="O5" s="11"/>
      <c r="P5" s="11"/>
    </row>
    <row r="6" spans="2:18" x14ac:dyDescent="0.35">
      <c r="B6">
        <v>4</v>
      </c>
      <c r="C6">
        <f t="shared" si="4"/>
        <v>1.4719999999999995</v>
      </c>
      <c r="D6" s="2">
        <f t="shared" si="0"/>
        <v>2.7957999999999998</v>
      </c>
      <c r="G6">
        <v>121</v>
      </c>
      <c r="H6">
        <f t="shared" si="1"/>
        <v>15.278000000000027</v>
      </c>
      <c r="I6" s="2">
        <f t="shared" si="2"/>
        <v>5.5377000000000001</v>
      </c>
      <c r="J6" s="11">
        <f t="shared" si="3"/>
        <v>-3.819999999999979E-2</v>
      </c>
      <c r="K6" s="11">
        <f t="shared" si="3"/>
        <v>-5.0099999999999589E-2</v>
      </c>
      <c r="L6" s="11">
        <f>K6-K5</f>
        <v>8.8817841970012523E-16</v>
      </c>
      <c r="M6" s="11">
        <f t="shared" si="3"/>
        <v>1.0000000000021103E-3</v>
      </c>
      <c r="N6" s="11"/>
      <c r="O6" s="11"/>
      <c r="P6" s="11"/>
    </row>
    <row r="7" spans="2:18" x14ac:dyDescent="0.35">
      <c r="B7">
        <v>5</v>
      </c>
      <c r="C7">
        <f t="shared" si="4"/>
        <v>1.5899999999999994</v>
      </c>
      <c r="D7" s="2">
        <f t="shared" si="0"/>
        <v>3.1802000000000001</v>
      </c>
      <c r="G7">
        <v>122</v>
      </c>
      <c r="H7">
        <f t="shared" si="1"/>
        <v>15.396000000000027</v>
      </c>
      <c r="I7" s="2">
        <f t="shared" si="2"/>
        <v>5.4499000000000004</v>
      </c>
      <c r="J7" s="11">
        <f t="shared" si="3"/>
        <v>-8.7799999999999656E-2</v>
      </c>
      <c r="K7" s="11">
        <f t="shared" si="3"/>
        <v>-4.9599999999999866E-2</v>
      </c>
      <c r="L7" s="11">
        <f t="shared" si="3"/>
        <v>4.9999999999972289E-4</v>
      </c>
      <c r="M7" s="11">
        <f t="shared" si="3"/>
        <v>4.9999999999883471E-4</v>
      </c>
      <c r="N7" s="11">
        <f t="shared" si="3"/>
        <v>-5.000000000032756E-4</v>
      </c>
      <c r="O7" s="11"/>
      <c r="P7" s="11"/>
    </row>
    <row r="8" spans="2:18" x14ac:dyDescent="0.35">
      <c r="B8">
        <v>6</v>
      </c>
      <c r="C8">
        <f t="shared" si="4"/>
        <v>1.7079999999999993</v>
      </c>
      <c r="D8" s="2">
        <f t="shared" si="0"/>
        <v>3.5347</v>
      </c>
      <c r="G8">
        <v>123</v>
      </c>
      <c r="H8">
        <f t="shared" si="1"/>
        <v>15.514000000000028</v>
      </c>
      <c r="I8" s="2">
        <f t="shared" si="2"/>
        <v>5.3139000000000003</v>
      </c>
      <c r="J8" s="11">
        <f t="shared" si="3"/>
        <v>-0.13600000000000012</v>
      </c>
      <c r="K8" s="11">
        <f t="shared" si="3"/>
        <v>-4.8200000000000465E-2</v>
      </c>
      <c r="L8" s="11">
        <f t="shared" si="3"/>
        <v>1.3999999999994017E-3</v>
      </c>
      <c r="M8" s="11">
        <f t="shared" si="3"/>
        <v>8.9999999999967883E-4</v>
      </c>
      <c r="N8" s="11">
        <f>M8-M7</f>
        <v>4.0000000000084412E-4</v>
      </c>
      <c r="O8" s="11">
        <f t="shared" si="3"/>
        <v>9.0000000000411973E-4</v>
      </c>
      <c r="P8" s="11"/>
    </row>
    <row r="9" spans="2:18" x14ac:dyDescent="0.35">
      <c r="B9">
        <v>7</v>
      </c>
      <c r="C9">
        <f t="shared" si="4"/>
        <v>1.8259999999999992</v>
      </c>
      <c r="D9" s="2">
        <f t="shared" si="0"/>
        <v>3.855</v>
      </c>
      <c r="G9">
        <v>124</v>
      </c>
      <c r="H9">
        <f t="shared" si="1"/>
        <v>15.632000000000028</v>
      </c>
      <c r="I9" s="2">
        <f t="shared" si="2"/>
        <v>5.1315</v>
      </c>
      <c r="J9" s="11">
        <f t="shared" si="3"/>
        <v>-0.18240000000000034</v>
      </c>
      <c r="K9" s="11">
        <f t="shared" si="3"/>
        <v>-4.6400000000000219E-2</v>
      </c>
      <c r="L9" s="11">
        <f>K9-K8</f>
        <v>1.8000000000002458E-3</v>
      </c>
      <c r="M9" s="11">
        <f t="shared" si="3"/>
        <v>4.0000000000084412E-4</v>
      </c>
      <c r="N9" s="11">
        <f>M9-M8</f>
        <v>-4.9999999999883471E-4</v>
      </c>
      <c r="O9" s="11">
        <f t="shared" si="3"/>
        <v>-8.9999999999967883E-4</v>
      </c>
      <c r="P9" s="11">
        <f>O9-O8</f>
        <v>-1.8000000000037986E-3</v>
      </c>
    </row>
    <row r="10" spans="2:18" x14ac:dyDescent="0.35">
      <c r="B10">
        <v>8</v>
      </c>
      <c r="C10">
        <f t="shared" si="4"/>
        <v>1.9439999999999991</v>
      </c>
      <c r="D10" s="2">
        <f t="shared" si="0"/>
        <v>4.1368999999999998</v>
      </c>
    </row>
    <row r="11" spans="2:18" ht="15" thickBot="1" x14ac:dyDescent="0.4">
      <c r="B11">
        <v>9</v>
      </c>
      <c r="C11">
        <f t="shared" si="4"/>
        <v>2.0619999999999989</v>
      </c>
      <c r="D11" s="2">
        <f t="shared" si="0"/>
        <v>4.3769</v>
      </c>
      <c r="I11" s="2">
        <f>I2</f>
        <v>5.3909000000000002</v>
      </c>
      <c r="J11" s="2">
        <f>J3</f>
        <v>0.11109999999999953</v>
      </c>
      <c r="K11" s="2">
        <f>K4</f>
        <v>-4.9099999999999255E-2</v>
      </c>
      <c r="L11" s="2">
        <f>L5</f>
        <v>-1.0000000000012221E-3</v>
      </c>
      <c r="M11" s="2">
        <f>M6</f>
        <v>1.0000000000021103E-3</v>
      </c>
      <c r="N11" s="2">
        <f>N7</f>
        <v>-5.000000000032756E-4</v>
      </c>
      <c r="O11" s="2">
        <f>O8</f>
        <v>9.0000000000411973E-4</v>
      </c>
      <c r="P11" s="2">
        <f>P9</f>
        <v>-1.8000000000037986E-3</v>
      </c>
    </row>
    <row r="12" spans="2:18" ht="15" thickBot="1" x14ac:dyDescent="0.4">
      <c r="B12">
        <v>10</v>
      </c>
      <c r="C12">
        <f t="shared" si="4"/>
        <v>2.1799999999999988</v>
      </c>
      <c r="D12" s="2">
        <f t="shared" si="0"/>
        <v>4.5720000000000001</v>
      </c>
      <c r="I12" s="12">
        <f>I11</f>
        <v>5.3909000000000002</v>
      </c>
      <c r="J12" s="13">
        <f>J11</f>
        <v>0.11109999999999953</v>
      </c>
      <c r="K12" s="14">
        <f>K11/2</f>
        <v>-2.4549999999999628E-2</v>
      </c>
      <c r="L12" s="14">
        <f>L11/6</f>
        <v>-1.6666666666687036E-4</v>
      </c>
      <c r="M12" s="14">
        <f>M11/24</f>
        <v>4.1666666666754594E-5</v>
      </c>
      <c r="N12" s="14">
        <f>N11/120</f>
        <v>-4.1666666666939634E-6</v>
      </c>
      <c r="O12" s="14">
        <f>O11/720</f>
        <v>1.2500000000057218E-6</v>
      </c>
      <c r="P12" s="15">
        <f>P11/(7*6*5*4*3*2)</f>
        <v>-3.571428571436108E-7</v>
      </c>
    </row>
    <row r="13" spans="2:18" ht="15" thickBot="1" x14ac:dyDescent="0.4">
      <c r="B13">
        <v>11</v>
      </c>
      <c r="C13">
        <f t="shared" si="4"/>
        <v>2.2979999999999987</v>
      </c>
      <c r="D13" s="2">
        <f t="shared" si="0"/>
        <v>4.7195999999999998</v>
      </c>
    </row>
    <row r="14" spans="2:18" x14ac:dyDescent="0.35">
      <c r="B14">
        <v>12</v>
      </c>
      <c r="C14">
        <f t="shared" si="4"/>
        <v>2.4159999999999986</v>
      </c>
      <c r="D14" s="2">
        <f t="shared" si="0"/>
        <v>4.8182</v>
      </c>
      <c r="I14" s="3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5">
        <v>1</v>
      </c>
    </row>
    <row r="15" spans="2:18" x14ac:dyDescent="0.35">
      <c r="B15">
        <v>13</v>
      </c>
      <c r="C15">
        <f t="shared" si="4"/>
        <v>2.5339999999999985</v>
      </c>
      <c r="D15" s="2">
        <f t="shared" si="0"/>
        <v>4.8665000000000003</v>
      </c>
      <c r="H15">
        <v>0</v>
      </c>
      <c r="I15" s="6" cm="1">
        <f t="array" ref="I15:P15">J14:Q14-H15*I14:P14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 s="7">
        <v>0</v>
      </c>
    </row>
    <row r="16" spans="2:18" x14ac:dyDescent="0.35">
      <c r="B16">
        <v>14</v>
      </c>
      <c r="C16">
        <f t="shared" si="4"/>
        <v>2.6519999999999984</v>
      </c>
      <c r="D16" s="2">
        <f t="shared" si="0"/>
        <v>4.8642000000000003</v>
      </c>
      <c r="H16">
        <v>1</v>
      </c>
      <c r="I16" s="6" cm="1">
        <f t="array" ref="I16:P16">J15:Q15-H16*I15:P15</f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-1</v>
      </c>
      <c r="P16" s="7">
        <v>0</v>
      </c>
    </row>
    <row r="17" spans="2:17" x14ac:dyDescent="0.35">
      <c r="B17">
        <v>15</v>
      </c>
      <c r="C17">
        <f t="shared" si="4"/>
        <v>2.7699999999999982</v>
      </c>
      <c r="D17" s="2">
        <f t="shared" si="0"/>
        <v>4.8114999999999997</v>
      </c>
      <c r="H17">
        <v>2</v>
      </c>
      <c r="I17" s="6" cm="1">
        <f t="array" ref="I17:P17">J16:Q16-H17*I16:P16</f>
        <v>0</v>
      </c>
      <c r="J17">
        <v>0</v>
      </c>
      <c r="K17">
        <v>0</v>
      </c>
      <c r="L17">
        <v>0</v>
      </c>
      <c r="M17">
        <v>1</v>
      </c>
      <c r="N17">
        <v>-3</v>
      </c>
      <c r="O17">
        <v>2</v>
      </c>
      <c r="P17" s="7">
        <v>0</v>
      </c>
    </row>
    <row r="18" spans="2:17" x14ac:dyDescent="0.35">
      <c r="B18">
        <v>16</v>
      </c>
      <c r="C18">
        <f t="shared" si="4"/>
        <v>2.8879999999999981</v>
      </c>
      <c r="D18" s="2">
        <f t="shared" si="0"/>
        <v>4.7093999999999996</v>
      </c>
      <c r="H18">
        <v>3</v>
      </c>
      <c r="I18" s="6" cm="1">
        <f t="array" ref="I18:P18">J17:Q17-H18*I17:P17</f>
        <v>0</v>
      </c>
      <c r="J18">
        <v>0</v>
      </c>
      <c r="K18">
        <v>0</v>
      </c>
      <c r="L18">
        <v>1</v>
      </c>
      <c r="M18">
        <v>-6</v>
      </c>
      <c r="N18">
        <v>11</v>
      </c>
      <c r="O18">
        <v>-6</v>
      </c>
      <c r="P18" s="7">
        <v>0</v>
      </c>
    </row>
    <row r="19" spans="2:17" x14ac:dyDescent="0.35">
      <c r="B19">
        <v>17</v>
      </c>
      <c r="C19">
        <f t="shared" si="4"/>
        <v>3.005999999999998</v>
      </c>
      <c r="D19" s="2">
        <f t="shared" si="0"/>
        <v>4.5595999999999997</v>
      </c>
      <c r="H19">
        <v>4</v>
      </c>
      <c r="I19" s="6" cm="1">
        <f t="array" ref="I19:P19">J18:Q18-H19*I18:P18</f>
        <v>0</v>
      </c>
      <c r="J19">
        <v>0</v>
      </c>
      <c r="K19">
        <v>1</v>
      </c>
      <c r="L19">
        <v>-10</v>
      </c>
      <c r="M19">
        <v>35</v>
      </c>
      <c r="N19">
        <v>-50</v>
      </c>
      <c r="O19">
        <v>24</v>
      </c>
      <c r="P19" s="7">
        <v>0</v>
      </c>
    </row>
    <row r="20" spans="2:17" x14ac:dyDescent="0.35">
      <c r="B20">
        <v>18</v>
      </c>
      <c r="C20">
        <f t="shared" si="4"/>
        <v>3.1239999999999979</v>
      </c>
      <c r="D20" s="2">
        <f t="shared" si="0"/>
        <v>4.3642000000000003</v>
      </c>
      <c r="H20">
        <v>5</v>
      </c>
      <c r="I20" s="6" cm="1">
        <f t="array" ref="I20:P20">J19:Q19-H20*I19:P19</f>
        <v>0</v>
      </c>
      <c r="J20">
        <v>1</v>
      </c>
      <c r="K20">
        <v>-15</v>
      </c>
      <c r="L20">
        <v>85</v>
      </c>
      <c r="M20">
        <v>-225</v>
      </c>
      <c r="N20">
        <v>274</v>
      </c>
      <c r="O20">
        <v>-120</v>
      </c>
      <c r="P20" s="7">
        <v>0</v>
      </c>
    </row>
    <row r="21" spans="2:17" ht="15" thickBot="1" x14ac:dyDescent="0.4">
      <c r="B21">
        <v>19</v>
      </c>
      <c r="C21">
        <f t="shared" si="4"/>
        <v>3.2419999999999978</v>
      </c>
      <c r="D21" s="2">
        <f t="shared" si="0"/>
        <v>4.1262999999999996</v>
      </c>
      <c r="H21">
        <v>6</v>
      </c>
      <c r="I21" s="8" cm="1">
        <f t="array" ref="I21:P21">J20:Q20-H21*I20:P20</f>
        <v>1</v>
      </c>
      <c r="J21" s="9">
        <v>-21</v>
      </c>
      <c r="K21" s="9">
        <v>175</v>
      </c>
      <c r="L21" s="9">
        <v>-735</v>
      </c>
      <c r="M21" s="9">
        <v>1624</v>
      </c>
      <c r="N21" s="9">
        <v>-1764</v>
      </c>
      <c r="O21" s="9">
        <v>720</v>
      </c>
      <c r="P21" s="10">
        <v>0</v>
      </c>
    </row>
    <row r="22" spans="2:17" x14ac:dyDescent="0.35">
      <c r="B22">
        <v>20</v>
      </c>
      <c r="C22">
        <f t="shared" si="4"/>
        <v>3.3599999999999977</v>
      </c>
      <c r="D22" s="2">
        <f t="shared" si="0"/>
        <v>3.8492999999999999</v>
      </c>
    </row>
    <row r="23" spans="2:17" x14ac:dyDescent="0.35">
      <c r="B23">
        <v>21</v>
      </c>
      <c r="C23">
        <f t="shared" si="4"/>
        <v>3.4779999999999975</v>
      </c>
      <c r="D23" s="2">
        <f t="shared" si="0"/>
        <v>3.5373000000000001</v>
      </c>
      <c r="I23" cm="1">
        <f t="array" ref="I23:P23">MMULT(I12:P12,I14:P21)</f>
        <v>-3.571428571436108E-7</v>
      </c>
      <c r="J23">
        <v>8.7500000000215494E-6</v>
      </c>
      <c r="K23">
        <v>-8.5416666666911681E-5</v>
      </c>
      <c r="L23">
        <v>4.5208333333473453E-4</v>
      </c>
      <c r="M23">
        <v>-1.4237500000041981E-3</v>
      </c>
      <c r="N23">
        <v>-2.2410833333327121E-2</v>
      </c>
      <c r="O23">
        <v>0.13455952380952016</v>
      </c>
      <c r="P23">
        <v>5.3909000000000002</v>
      </c>
    </row>
    <row r="24" spans="2:17" x14ac:dyDescent="0.35">
      <c r="B24">
        <v>22</v>
      </c>
      <c r="C24">
        <f t="shared" si="4"/>
        <v>3.5959999999999974</v>
      </c>
      <c r="D24" s="2">
        <f t="shared" si="0"/>
        <v>3.1947999999999999</v>
      </c>
      <c r="H24">
        <f>(E1-H2)/C1</f>
        <v>3.6525423728811384</v>
      </c>
      <c r="I24">
        <f>I23</f>
        <v>-3.571428571436108E-7</v>
      </c>
      <c r="J24">
        <f>I24*$H$24+J23</f>
        <v>7.445520581132676E-6</v>
      </c>
      <c r="K24">
        <f t="shared" ref="K24:P24" si="5">J24*$H$24+K23</f>
        <v>-5.8221587256165988E-5</v>
      </c>
      <c r="L24">
        <f t="shared" si="5"/>
        <v>2.3942651886519177E-4</v>
      </c>
      <c r="M24">
        <f t="shared" si="5"/>
        <v>-5.4923449465765989E-4</v>
      </c>
      <c r="N24">
        <f t="shared" si="5"/>
        <v>-2.4416935597712183E-2</v>
      </c>
      <c r="O24">
        <f t="shared" si="5"/>
        <v>4.5375631922966564E-2</v>
      </c>
      <c r="P24" s="17">
        <f t="shared" si="5"/>
        <v>5.556636418294894</v>
      </c>
      <c r="Q24" s="20" t="s">
        <v>1</v>
      </c>
    </row>
    <row r="25" spans="2:17" x14ac:dyDescent="0.35">
      <c r="B25">
        <v>23</v>
      </c>
      <c r="C25">
        <f t="shared" si="4"/>
        <v>3.7139999999999973</v>
      </c>
      <c r="D25" s="2">
        <f t="shared" si="0"/>
        <v>2.8267000000000002</v>
      </c>
      <c r="I25">
        <f>I24</f>
        <v>-3.571428571436108E-7</v>
      </c>
      <c r="J25">
        <f>I25*$H$24+J24</f>
        <v>6.1410411622438025E-6</v>
      </c>
      <c r="K25">
        <f t="shared" ref="K25:O25" si="6">J25*$H$24+K24</f>
        <v>-3.5791174197463268E-5</v>
      </c>
      <c r="L25">
        <f t="shared" si="6"/>
        <v>1.0869773853378712E-4</v>
      </c>
      <c r="M25">
        <f t="shared" si="6"/>
        <v>-1.5221139882664751E-4</v>
      </c>
      <c r="N25">
        <f t="shared" si="6"/>
        <v>-2.4972894181562021E-2</v>
      </c>
      <c r="O25" s="16">
        <f t="shared" si="6"/>
        <v>-4.5838922248665551E-2</v>
      </c>
      <c r="P25" s="18">
        <f>(O25*1)/C1</f>
        <v>-0.38846544278530132</v>
      </c>
      <c r="Q25" s="21" t="s">
        <v>2</v>
      </c>
    </row>
    <row r="26" spans="2:17" x14ac:dyDescent="0.35">
      <c r="B26">
        <v>24</v>
      </c>
      <c r="C26">
        <f t="shared" si="4"/>
        <v>3.8319999999999972</v>
      </c>
      <c r="D26" s="2">
        <f t="shared" si="0"/>
        <v>2.4384000000000001</v>
      </c>
      <c r="I26">
        <f>I25</f>
        <v>-3.571428571436108E-7</v>
      </c>
      <c r="J26">
        <f>I26*$H$24+J25</f>
        <v>4.8365617433549291E-6</v>
      </c>
      <c r="K26">
        <f t="shared" ref="K26:N26" si="7">J26*$H$24+K25</f>
        <v>-1.8125427490803519E-5</v>
      </c>
      <c r="L26">
        <f t="shared" si="7"/>
        <v>4.249384659704262E-5</v>
      </c>
      <c r="M26">
        <f t="shared" si="7"/>
        <v>2.9991764557616265E-6</v>
      </c>
      <c r="N26" s="16">
        <f t="shared" si="7"/>
        <v>-2.4961939562473605E-2</v>
      </c>
      <c r="P26" s="19">
        <f>(N26*2*1)/C1^2</f>
        <v>-3.5854552660835401</v>
      </c>
      <c r="Q26" s="22" t="s">
        <v>3</v>
      </c>
    </row>
    <row r="27" spans="2:17" x14ac:dyDescent="0.35">
      <c r="B27">
        <v>25</v>
      </c>
      <c r="C27">
        <f t="shared" si="4"/>
        <v>3.9499999999999971</v>
      </c>
      <c r="D27" s="2">
        <f t="shared" si="0"/>
        <v>2.0354000000000001</v>
      </c>
    </row>
    <row r="28" spans="2:17" x14ac:dyDescent="0.35">
      <c r="B28">
        <v>26</v>
      </c>
      <c r="C28">
        <f t="shared" si="4"/>
        <v>4.067999999999997</v>
      </c>
      <c r="D28" s="2">
        <f t="shared" si="0"/>
        <v>1.6234</v>
      </c>
    </row>
    <row r="29" spans="2:17" x14ac:dyDescent="0.35">
      <c r="B29">
        <v>27</v>
      </c>
      <c r="C29">
        <f t="shared" si="4"/>
        <v>4.1859999999999973</v>
      </c>
      <c r="D29" s="2">
        <f t="shared" si="0"/>
        <v>1.2083999999999999</v>
      </c>
    </row>
    <row r="30" spans="2:17" x14ac:dyDescent="0.35">
      <c r="B30">
        <v>28</v>
      </c>
      <c r="C30">
        <f t="shared" si="4"/>
        <v>4.3039999999999976</v>
      </c>
      <c r="D30" s="2">
        <f t="shared" si="0"/>
        <v>0.79620000000000002</v>
      </c>
    </row>
    <row r="31" spans="2:17" x14ac:dyDescent="0.35">
      <c r="B31">
        <v>29</v>
      </c>
      <c r="C31">
        <f t="shared" si="4"/>
        <v>4.4219999999999979</v>
      </c>
      <c r="D31" s="2">
        <f t="shared" si="0"/>
        <v>0.39279999999999998</v>
      </c>
    </row>
    <row r="32" spans="2:17" x14ac:dyDescent="0.35">
      <c r="B32">
        <v>30</v>
      </c>
      <c r="C32">
        <f t="shared" si="4"/>
        <v>4.5399999999999983</v>
      </c>
      <c r="D32" s="2">
        <f t="shared" si="0"/>
        <v>4.0000000000000001E-3</v>
      </c>
      <c r="H32" s="2"/>
    </row>
    <row r="33" spans="2:4" x14ac:dyDescent="0.35">
      <c r="B33">
        <v>31</v>
      </c>
      <c r="C33">
        <f t="shared" si="4"/>
        <v>4.6579999999999986</v>
      </c>
      <c r="D33" s="2">
        <f t="shared" si="0"/>
        <v>-0.3649</v>
      </c>
    </row>
    <row r="34" spans="2:4" x14ac:dyDescent="0.35">
      <c r="B34">
        <v>32</v>
      </c>
      <c r="C34">
        <f t="shared" si="4"/>
        <v>4.7759999999999989</v>
      </c>
      <c r="D34" s="2">
        <f t="shared" si="0"/>
        <v>-0.70830000000000004</v>
      </c>
    </row>
    <row r="35" spans="2:4" x14ac:dyDescent="0.35">
      <c r="B35">
        <v>33</v>
      </c>
      <c r="C35">
        <f t="shared" si="4"/>
        <v>4.8939999999999992</v>
      </c>
      <c r="D35" s="2">
        <f t="shared" si="0"/>
        <v>-1.0216000000000001</v>
      </c>
    </row>
    <row r="36" spans="2:4" x14ac:dyDescent="0.35">
      <c r="B36">
        <v>34</v>
      </c>
      <c r="C36">
        <f t="shared" si="4"/>
        <v>5.0119999999999996</v>
      </c>
      <c r="D36" s="2">
        <f t="shared" si="0"/>
        <v>-1.3001</v>
      </c>
    </row>
    <row r="37" spans="2:4" x14ac:dyDescent="0.35">
      <c r="B37">
        <v>35</v>
      </c>
      <c r="C37">
        <f t="shared" si="4"/>
        <v>5.13</v>
      </c>
      <c r="D37" s="2">
        <f t="shared" si="0"/>
        <v>-1.5399</v>
      </c>
    </row>
    <row r="38" spans="2:4" x14ac:dyDescent="0.35">
      <c r="B38">
        <v>36</v>
      </c>
      <c r="C38">
        <f t="shared" si="4"/>
        <v>5.2480000000000002</v>
      </c>
      <c r="D38" s="2">
        <f t="shared" si="0"/>
        <v>-1.7375</v>
      </c>
    </row>
    <row r="39" spans="2:4" x14ac:dyDescent="0.35">
      <c r="B39">
        <v>37</v>
      </c>
      <c r="C39">
        <f t="shared" si="4"/>
        <v>5.3660000000000005</v>
      </c>
      <c r="D39" s="2">
        <f t="shared" si="0"/>
        <v>-1.89</v>
      </c>
    </row>
    <row r="40" spans="2:4" x14ac:dyDescent="0.35">
      <c r="B40">
        <v>38</v>
      </c>
      <c r="C40">
        <f t="shared" si="4"/>
        <v>5.4840000000000009</v>
      </c>
      <c r="D40" s="2">
        <f t="shared" si="0"/>
        <v>-1.9952000000000001</v>
      </c>
    </row>
    <row r="41" spans="2:4" x14ac:dyDescent="0.35">
      <c r="B41">
        <v>39</v>
      </c>
      <c r="C41">
        <f t="shared" si="4"/>
        <v>5.6020000000000012</v>
      </c>
      <c r="D41" s="2">
        <f t="shared" si="0"/>
        <v>-2.0514999999999999</v>
      </c>
    </row>
    <row r="42" spans="2:4" x14ac:dyDescent="0.35">
      <c r="B42">
        <v>40</v>
      </c>
      <c r="C42">
        <f t="shared" si="4"/>
        <v>5.7200000000000015</v>
      </c>
      <c r="D42" s="2">
        <f t="shared" si="0"/>
        <v>-2.0579000000000001</v>
      </c>
    </row>
    <row r="43" spans="2:4" x14ac:dyDescent="0.35">
      <c r="B43">
        <v>41</v>
      </c>
      <c r="C43">
        <f t="shared" si="4"/>
        <v>5.8380000000000019</v>
      </c>
      <c r="D43" s="2">
        <f t="shared" si="0"/>
        <v>-2.0144000000000002</v>
      </c>
    </row>
    <row r="44" spans="2:4" x14ac:dyDescent="0.35">
      <c r="B44">
        <v>42</v>
      </c>
      <c r="C44">
        <f t="shared" si="4"/>
        <v>5.9560000000000022</v>
      </c>
      <c r="D44" s="2">
        <f t="shared" si="0"/>
        <v>-1.9214</v>
      </c>
    </row>
    <row r="45" spans="2:4" x14ac:dyDescent="0.35">
      <c r="B45">
        <v>43</v>
      </c>
      <c r="C45">
        <f t="shared" si="4"/>
        <v>6.0740000000000025</v>
      </c>
      <c r="D45" s="2">
        <f t="shared" si="0"/>
        <v>-1.78</v>
      </c>
    </row>
    <row r="46" spans="2:4" x14ac:dyDescent="0.35">
      <c r="B46">
        <v>44</v>
      </c>
      <c r="C46">
        <f t="shared" si="4"/>
        <v>6.1920000000000028</v>
      </c>
      <c r="D46" s="2">
        <f t="shared" si="0"/>
        <v>-1.5922000000000001</v>
      </c>
    </row>
    <row r="47" spans="2:4" x14ac:dyDescent="0.35">
      <c r="B47">
        <v>45</v>
      </c>
      <c r="C47">
        <f t="shared" si="4"/>
        <v>6.3100000000000032</v>
      </c>
      <c r="D47" s="2">
        <f t="shared" si="0"/>
        <v>-1.3604000000000001</v>
      </c>
    </row>
    <row r="48" spans="2:4" x14ac:dyDescent="0.35">
      <c r="B48">
        <v>46</v>
      </c>
      <c r="C48">
        <f t="shared" si="4"/>
        <v>6.4280000000000035</v>
      </c>
      <c r="D48" s="2">
        <f t="shared" si="0"/>
        <v>-1.0876999999999999</v>
      </c>
    </row>
    <row r="49" spans="2:4" x14ac:dyDescent="0.35">
      <c r="B49">
        <v>47</v>
      </c>
      <c r="C49">
        <f t="shared" si="4"/>
        <v>6.5460000000000038</v>
      </c>
      <c r="D49" s="2">
        <f t="shared" si="0"/>
        <v>-0.77790000000000004</v>
      </c>
    </row>
    <row r="50" spans="2:4" x14ac:dyDescent="0.35">
      <c r="B50">
        <v>48</v>
      </c>
      <c r="C50">
        <f t="shared" si="4"/>
        <v>6.6640000000000041</v>
      </c>
      <c r="D50" s="2">
        <f t="shared" si="0"/>
        <v>-0.435</v>
      </c>
    </row>
    <row r="51" spans="2:4" x14ac:dyDescent="0.35">
      <c r="B51">
        <v>49</v>
      </c>
      <c r="C51">
        <f t="shared" si="4"/>
        <v>6.7820000000000045</v>
      </c>
      <c r="D51" s="2">
        <f t="shared" si="0"/>
        <v>-6.3899999999999998E-2</v>
      </c>
    </row>
    <row r="52" spans="2:4" x14ac:dyDescent="0.35">
      <c r="B52">
        <v>50</v>
      </c>
      <c r="C52">
        <f t="shared" si="4"/>
        <v>6.9000000000000048</v>
      </c>
      <c r="D52" s="2">
        <f t="shared" si="0"/>
        <v>0.33040000000000003</v>
      </c>
    </row>
    <row r="53" spans="2:4" x14ac:dyDescent="0.35">
      <c r="B53">
        <v>51</v>
      </c>
      <c r="C53">
        <f t="shared" si="4"/>
        <v>7.0180000000000051</v>
      </c>
      <c r="D53" s="2">
        <f t="shared" si="0"/>
        <v>0.74270000000000003</v>
      </c>
    </row>
    <row r="54" spans="2:4" x14ac:dyDescent="0.35">
      <c r="B54">
        <v>52</v>
      </c>
      <c r="C54">
        <f t="shared" si="4"/>
        <v>7.1360000000000054</v>
      </c>
      <c r="D54" s="2">
        <f t="shared" si="0"/>
        <v>1.1671</v>
      </c>
    </row>
    <row r="55" spans="2:4" x14ac:dyDescent="0.35">
      <c r="B55">
        <v>53</v>
      </c>
      <c r="C55">
        <f t="shared" si="4"/>
        <v>7.2540000000000058</v>
      </c>
      <c r="D55" s="2">
        <f t="shared" si="0"/>
        <v>1.5979000000000001</v>
      </c>
    </row>
    <row r="56" spans="2:4" x14ac:dyDescent="0.35">
      <c r="B56">
        <v>54</v>
      </c>
      <c r="C56">
        <f t="shared" si="4"/>
        <v>7.3720000000000061</v>
      </c>
      <c r="D56" s="2">
        <f t="shared" si="0"/>
        <v>2.0293000000000001</v>
      </c>
    </row>
    <row r="57" spans="2:4" x14ac:dyDescent="0.35">
      <c r="B57">
        <v>55</v>
      </c>
      <c r="C57">
        <f t="shared" si="4"/>
        <v>7.4900000000000064</v>
      </c>
      <c r="D57" s="2">
        <f t="shared" si="0"/>
        <v>2.4552999999999998</v>
      </c>
    </row>
    <row r="58" spans="2:4" x14ac:dyDescent="0.35">
      <c r="B58">
        <v>56</v>
      </c>
      <c r="C58">
        <f t="shared" si="4"/>
        <v>7.6080000000000068</v>
      </c>
      <c r="D58" s="2">
        <f t="shared" si="0"/>
        <v>2.8700999999999999</v>
      </c>
    </row>
    <row r="59" spans="2:4" x14ac:dyDescent="0.35">
      <c r="B59">
        <v>57</v>
      </c>
      <c r="C59">
        <f t="shared" si="4"/>
        <v>7.7260000000000071</v>
      </c>
      <c r="D59" s="2">
        <f t="shared" si="0"/>
        <v>3.2679</v>
      </c>
    </row>
    <row r="60" spans="2:4" x14ac:dyDescent="0.35">
      <c r="B60">
        <v>58</v>
      </c>
      <c r="C60">
        <f t="shared" si="4"/>
        <v>7.8440000000000074</v>
      </c>
      <c r="D60" s="2">
        <f t="shared" si="0"/>
        <v>3.6435</v>
      </c>
    </row>
    <row r="61" spans="2:4" x14ac:dyDescent="0.35">
      <c r="B61">
        <v>59</v>
      </c>
      <c r="C61">
        <f t="shared" si="4"/>
        <v>7.9620000000000077</v>
      </c>
      <c r="D61" s="2">
        <f t="shared" si="0"/>
        <v>3.9916</v>
      </c>
    </row>
    <row r="62" spans="2:4" x14ac:dyDescent="0.35">
      <c r="B62">
        <v>60</v>
      </c>
      <c r="C62">
        <f t="shared" si="4"/>
        <v>8.0800000000000072</v>
      </c>
      <c r="D62" s="2">
        <f t="shared" si="0"/>
        <v>4.3074000000000003</v>
      </c>
    </row>
    <row r="63" spans="2:4" x14ac:dyDescent="0.35">
      <c r="B63">
        <v>61</v>
      </c>
      <c r="C63">
        <f t="shared" si="4"/>
        <v>8.1980000000000075</v>
      </c>
      <c r="D63" s="2">
        <f t="shared" si="0"/>
        <v>4.5867000000000004</v>
      </c>
    </row>
    <row r="64" spans="2:4" x14ac:dyDescent="0.35">
      <c r="B64">
        <v>62</v>
      </c>
      <c r="C64">
        <f t="shared" si="4"/>
        <v>8.3160000000000078</v>
      </c>
      <c r="D64" s="2">
        <f t="shared" si="0"/>
        <v>4.8257000000000003</v>
      </c>
    </row>
    <row r="65" spans="2:4" x14ac:dyDescent="0.35">
      <c r="B65">
        <v>63</v>
      </c>
      <c r="C65">
        <f t="shared" si="4"/>
        <v>8.4340000000000082</v>
      </c>
      <c r="D65" s="2">
        <f t="shared" si="0"/>
        <v>5.0212000000000003</v>
      </c>
    </row>
    <row r="66" spans="2:4" x14ac:dyDescent="0.35">
      <c r="B66">
        <v>64</v>
      </c>
      <c r="C66">
        <f t="shared" si="4"/>
        <v>8.5520000000000085</v>
      </c>
      <c r="D66" s="2">
        <f t="shared" si="0"/>
        <v>5.1703999999999999</v>
      </c>
    </row>
    <row r="67" spans="2:4" x14ac:dyDescent="0.35">
      <c r="B67">
        <v>65</v>
      </c>
      <c r="C67">
        <f t="shared" si="4"/>
        <v>8.6700000000000088</v>
      </c>
      <c r="D67" s="2">
        <f t="shared" ref="D67:D130" si="8">ROUND(POWER(C67,1/4)+2*SIN(C67)-3*COS(C67),4)</f>
        <v>5.2714999999999996</v>
      </c>
    </row>
    <row r="68" spans="2:4" x14ac:dyDescent="0.35">
      <c r="B68">
        <v>66</v>
      </c>
      <c r="C68">
        <f t="shared" si="4"/>
        <v>8.7880000000000091</v>
      </c>
      <c r="D68" s="2">
        <f t="shared" si="8"/>
        <v>5.3230000000000004</v>
      </c>
    </row>
    <row r="69" spans="2:4" x14ac:dyDescent="0.35">
      <c r="B69">
        <v>67</v>
      </c>
      <c r="C69">
        <f t="shared" ref="C69:C132" si="9">C68+$C$1</f>
        <v>8.9060000000000095</v>
      </c>
      <c r="D69" s="2">
        <f t="shared" si="8"/>
        <v>5.3243999999999998</v>
      </c>
    </row>
    <row r="70" spans="2:4" x14ac:dyDescent="0.35">
      <c r="B70">
        <v>68</v>
      </c>
      <c r="C70">
        <f t="shared" si="9"/>
        <v>9.0240000000000098</v>
      </c>
      <c r="D70" s="2">
        <f t="shared" si="8"/>
        <v>5.2756999999999996</v>
      </c>
    </row>
    <row r="71" spans="2:4" x14ac:dyDescent="0.35">
      <c r="B71">
        <v>69</v>
      </c>
      <c r="C71">
        <f t="shared" si="9"/>
        <v>9.1420000000000101</v>
      </c>
      <c r="D71" s="2">
        <f t="shared" si="8"/>
        <v>5.1776999999999997</v>
      </c>
    </row>
    <row r="72" spans="2:4" x14ac:dyDescent="0.35">
      <c r="B72">
        <v>70</v>
      </c>
      <c r="C72">
        <f t="shared" si="9"/>
        <v>9.2600000000000104</v>
      </c>
      <c r="D72" s="2">
        <f t="shared" si="8"/>
        <v>5.0319000000000003</v>
      </c>
    </row>
    <row r="73" spans="2:4" x14ac:dyDescent="0.35">
      <c r="B73">
        <v>71</v>
      </c>
      <c r="C73">
        <f t="shared" si="9"/>
        <v>9.3780000000000108</v>
      </c>
      <c r="D73" s="2">
        <f t="shared" si="8"/>
        <v>4.8402000000000003</v>
      </c>
    </row>
    <row r="74" spans="2:4" x14ac:dyDescent="0.35">
      <c r="B74">
        <v>72</v>
      </c>
      <c r="C74">
        <f t="shared" si="9"/>
        <v>9.4960000000000111</v>
      </c>
      <c r="D74" s="2">
        <f t="shared" si="8"/>
        <v>4.6055000000000001</v>
      </c>
    </row>
    <row r="75" spans="2:4" x14ac:dyDescent="0.35">
      <c r="B75">
        <v>73</v>
      </c>
      <c r="C75">
        <f t="shared" si="9"/>
        <v>9.6140000000000114</v>
      </c>
      <c r="D75" s="2">
        <f t="shared" si="8"/>
        <v>4.3311000000000002</v>
      </c>
    </row>
    <row r="76" spans="2:4" x14ac:dyDescent="0.35">
      <c r="B76">
        <v>74</v>
      </c>
      <c r="C76">
        <f t="shared" si="9"/>
        <v>9.7320000000000118</v>
      </c>
      <c r="D76" s="2">
        <f t="shared" si="8"/>
        <v>4.0209999999999999</v>
      </c>
    </row>
    <row r="77" spans="2:4" x14ac:dyDescent="0.35">
      <c r="B77">
        <v>75</v>
      </c>
      <c r="C77">
        <f t="shared" si="9"/>
        <v>9.8500000000000121</v>
      </c>
      <c r="D77" s="2">
        <f t="shared" si="8"/>
        <v>3.6793999999999998</v>
      </c>
    </row>
    <row r="78" spans="2:4" x14ac:dyDescent="0.35">
      <c r="B78">
        <v>76</v>
      </c>
      <c r="C78">
        <f t="shared" si="9"/>
        <v>9.9680000000000124</v>
      </c>
      <c r="D78" s="2">
        <f t="shared" si="8"/>
        <v>3.3111999999999999</v>
      </c>
    </row>
    <row r="79" spans="2:4" x14ac:dyDescent="0.35">
      <c r="B79">
        <v>77</v>
      </c>
      <c r="C79">
        <f t="shared" si="9"/>
        <v>10.086000000000013</v>
      </c>
      <c r="D79" s="2">
        <f t="shared" si="8"/>
        <v>2.9217</v>
      </c>
    </row>
    <row r="80" spans="2:4" x14ac:dyDescent="0.35">
      <c r="B80">
        <v>78</v>
      </c>
      <c r="C80">
        <f t="shared" si="9"/>
        <v>10.204000000000013</v>
      </c>
      <c r="D80" s="2">
        <f t="shared" si="8"/>
        <v>2.5162</v>
      </c>
    </row>
    <row r="81" spans="2:4" x14ac:dyDescent="0.35">
      <c r="B81">
        <v>79</v>
      </c>
      <c r="C81">
        <f t="shared" si="9"/>
        <v>10.322000000000013</v>
      </c>
      <c r="D81" s="2">
        <f t="shared" si="8"/>
        <v>2.1006</v>
      </c>
    </row>
    <row r="82" spans="2:4" x14ac:dyDescent="0.35">
      <c r="B82">
        <v>80</v>
      </c>
      <c r="C82">
        <f t="shared" si="9"/>
        <v>10.440000000000014</v>
      </c>
      <c r="D82" s="2">
        <f t="shared" si="8"/>
        <v>1.6806000000000001</v>
      </c>
    </row>
    <row r="83" spans="2:4" x14ac:dyDescent="0.35">
      <c r="B83">
        <v>81</v>
      </c>
      <c r="C83">
        <f t="shared" si="9"/>
        <v>10.558000000000014</v>
      </c>
      <c r="D83" s="2">
        <f t="shared" si="8"/>
        <v>1.2622</v>
      </c>
    </row>
    <row r="84" spans="2:4" x14ac:dyDescent="0.35">
      <c r="B84">
        <v>82</v>
      </c>
      <c r="C84">
        <f t="shared" si="9"/>
        <v>10.676000000000014</v>
      </c>
      <c r="D84" s="2">
        <f t="shared" si="8"/>
        <v>0.85129999999999995</v>
      </c>
    </row>
    <row r="85" spans="2:4" x14ac:dyDescent="0.35">
      <c r="B85">
        <v>83</v>
      </c>
      <c r="C85">
        <f t="shared" si="9"/>
        <v>10.794000000000015</v>
      </c>
      <c r="D85" s="2">
        <f t="shared" si="8"/>
        <v>0.45369999999999999</v>
      </c>
    </row>
    <row r="86" spans="2:4" x14ac:dyDescent="0.35">
      <c r="B86">
        <v>84</v>
      </c>
      <c r="C86">
        <f t="shared" si="9"/>
        <v>10.912000000000015</v>
      </c>
      <c r="D86" s="2">
        <f t="shared" si="8"/>
        <v>7.4899999999999994E-2</v>
      </c>
    </row>
    <row r="87" spans="2:4" x14ac:dyDescent="0.35">
      <c r="B87">
        <v>85</v>
      </c>
      <c r="C87">
        <f t="shared" si="9"/>
        <v>11.030000000000015</v>
      </c>
      <c r="D87" s="2">
        <f t="shared" si="8"/>
        <v>-0.2797</v>
      </c>
    </row>
    <row r="88" spans="2:4" x14ac:dyDescent="0.35">
      <c r="B88">
        <v>86</v>
      </c>
      <c r="C88">
        <f t="shared" si="9"/>
        <v>11.148000000000016</v>
      </c>
      <c r="D88" s="2">
        <f t="shared" si="8"/>
        <v>-0.60509999999999997</v>
      </c>
    </row>
    <row r="89" spans="2:4" x14ac:dyDescent="0.35">
      <c r="B89">
        <v>87</v>
      </c>
      <c r="C89">
        <f t="shared" si="9"/>
        <v>11.266000000000016</v>
      </c>
      <c r="D89" s="2">
        <f t="shared" si="8"/>
        <v>-0.89670000000000005</v>
      </c>
    </row>
    <row r="90" spans="2:4" x14ac:dyDescent="0.35">
      <c r="B90">
        <v>88</v>
      </c>
      <c r="C90">
        <f t="shared" si="9"/>
        <v>11.384000000000016</v>
      </c>
      <c r="D90" s="2">
        <f t="shared" si="8"/>
        <v>-1.1504000000000001</v>
      </c>
    </row>
    <row r="91" spans="2:4" x14ac:dyDescent="0.35">
      <c r="B91">
        <v>89</v>
      </c>
      <c r="C91">
        <f t="shared" si="9"/>
        <v>11.502000000000017</v>
      </c>
      <c r="D91" s="2">
        <f t="shared" si="8"/>
        <v>-1.3625</v>
      </c>
    </row>
    <row r="92" spans="2:4" x14ac:dyDescent="0.35">
      <c r="B92">
        <v>90</v>
      </c>
      <c r="C92">
        <f t="shared" si="9"/>
        <v>11.620000000000017</v>
      </c>
      <c r="D92" s="2">
        <f t="shared" si="8"/>
        <v>-1.5302</v>
      </c>
    </row>
    <row r="93" spans="2:4" x14ac:dyDescent="0.35">
      <c r="B93">
        <v>91</v>
      </c>
      <c r="C93">
        <f t="shared" si="9"/>
        <v>11.738000000000017</v>
      </c>
      <c r="D93" s="2">
        <f t="shared" si="8"/>
        <v>-1.6509</v>
      </c>
    </row>
    <row r="94" spans="2:4" x14ac:dyDescent="0.35">
      <c r="B94">
        <v>92</v>
      </c>
      <c r="C94">
        <f t="shared" si="9"/>
        <v>11.856000000000018</v>
      </c>
      <c r="D94" s="2">
        <f t="shared" si="8"/>
        <v>-1.7230000000000001</v>
      </c>
    </row>
    <row r="95" spans="2:4" x14ac:dyDescent="0.35">
      <c r="B95">
        <v>93</v>
      </c>
      <c r="C95">
        <f t="shared" si="9"/>
        <v>11.974000000000018</v>
      </c>
      <c r="D95" s="2">
        <f t="shared" si="8"/>
        <v>-1.7453000000000001</v>
      </c>
    </row>
    <row r="96" spans="2:4" x14ac:dyDescent="0.35">
      <c r="B96">
        <v>94</v>
      </c>
      <c r="C96">
        <f t="shared" si="9"/>
        <v>12.092000000000018</v>
      </c>
      <c r="D96" s="2">
        <f t="shared" si="8"/>
        <v>-1.7175</v>
      </c>
    </row>
    <row r="97" spans="2:4" x14ac:dyDescent="0.35">
      <c r="B97">
        <v>95</v>
      </c>
      <c r="C97">
        <f t="shared" si="9"/>
        <v>12.210000000000019</v>
      </c>
      <c r="D97" s="2">
        <f t="shared" si="8"/>
        <v>-1.64</v>
      </c>
    </row>
    <row r="98" spans="2:4" x14ac:dyDescent="0.35">
      <c r="B98">
        <v>96</v>
      </c>
      <c r="C98">
        <f t="shared" si="9"/>
        <v>12.328000000000019</v>
      </c>
      <c r="D98" s="2">
        <f t="shared" si="8"/>
        <v>-1.5136000000000001</v>
      </c>
    </row>
    <row r="99" spans="2:4" x14ac:dyDescent="0.35">
      <c r="B99">
        <v>97</v>
      </c>
      <c r="C99">
        <f t="shared" si="9"/>
        <v>12.446000000000019</v>
      </c>
      <c r="D99" s="2">
        <f t="shared" si="8"/>
        <v>-1.3402000000000001</v>
      </c>
    </row>
    <row r="100" spans="2:4" x14ac:dyDescent="0.35">
      <c r="B100">
        <v>98</v>
      </c>
      <c r="C100">
        <f t="shared" si="9"/>
        <v>12.56400000000002</v>
      </c>
      <c r="D100" s="2">
        <f t="shared" si="8"/>
        <v>-1.1220000000000001</v>
      </c>
    </row>
    <row r="101" spans="2:4" x14ac:dyDescent="0.35">
      <c r="B101">
        <v>99</v>
      </c>
      <c r="C101">
        <f t="shared" si="9"/>
        <v>12.68200000000002</v>
      </c>
      <c r="D101" s="2">
        <f t="shared" si="8"/>
        <v>-0.86209999999999998</v>
      </c>
    </row>
    <row r="102" spans="2:4" x14ac:dyDescent="0.35">
      <c r="B102">
        <v>100</v>
      </c>
      <c r="C102">
        <f t="shared" si="9"/>
        <v>12.80000000000002</v>
      </c>
      <c r="D102" s="2">
        <f t="shared" si="8"/>
        <v>-0.56399999999999995</v>
      </c>
    </row>
    <row r="103" spans="2:4" x14ac:dyDescent="0.35">
      <c r="B103">
        <v>101</v>
      </c>
      <c r="C103">
        <f t="shared" si="9"/>
        <v>12.918000000000021</v>
      </c>
      <c r="D103" s="2">
        <f t="shared" si="8"/>
        <v>-0.23180000000000001</v>
      </c>
    </row>
    <row r="104" spans="2:4" x14ac:dyDescent="0.35">
      <c r="B104">
        <v>102</v>
      </c>
      <c r="C104">
        <f t="shared" si="9"/>
        <v>13.036000000000021</v>
      </c>
      <c r="D104" s="2">
        <f t="shared" si="8"/>
        <v>0.13</v>
      </c>
    </row>
    <row r="105" spans="2:4" x14ac:dyDescent="0.35">
      <c r="B105">
        <v>103</v>
      </c>
      <c r="C105">
        <f t="shared" si="9"/>
        <v>13.154000000000021</v>
      </c>
      <c r="D105" s="2">
        <f t="shared" si="8"/>
        <v>0.51639999999999997</v>
      </c>
    </row>
    <row r="106" spans="2:4" x14ac:dyDescent="0.35">
      <c r="B106">
        <v>104</v>
      </c>
      <c r="C106">
        <f t="shared" si="9"/>
        <v>13.272000000000022</v>
      </c>
      <c r="D106" s="2">
        <f t="shared" si="8"/>
        <v>0.92210000000000003</v>
      </c>
    </row>
    <row r="107" spans="2:4" x14ac:dyDescent="0.35">
      <c r="B107">
        <v>105</v>
      </c>
      <c r="C107">
        <f t="shared" si="9"/>
        <v>13.390000000000022</v>
      </c>
      <c r="D107" s="2">
        <f t="shared" si="8"/>
        <v>1.3414999999999999</v>
      </c>
    </row>
    <row r="108" spans="2:4" x14ac:dyDescent="0.35">
      <c r="B108">
        <v>106</v>
      </c>
      <c r="C108">
        <f t="shared" si="9"/>
        <v>13.508000000000022</v>
      </c>
      <c r="D108" s="2">
        <f t="shared" si="8"/>
        <v>1.7686999999999999</v>
      </c>
    </row>
    <row r="109" spans="2:4" x14ac:dyDescent="0.35">
      <c r="B109">
        <v>107</v>
      </c>
      <c r="C109">
        <f t="shared" si="9"/>
        <v>13.626000000000023</v>
      </c>
      <c r="D109" s="2">
        <f t="shared" si="8"/>
        <v>2.198</v>
      </c>
    </row>
    <row r="110" spans="2:4" x14ac:dyDescent="0.35">
      <c r="B110">
        <v>108</v>
      </c>
      <c r="C110">
        <f t="shared" si="9"/>
        <v>13.744000000000023</v>
      </c>
      <c r="D110" s="2">
        <f t="shared" si="8"/>
        <v>2.6234999999999999</v>
      </c>
    </row>
    <row r="111" spans="2:4" x14ac:dyDescent="0.35">
      <c r="B111">
        <v>109</v>
      </c>
      <c r="C111">
        <f t="shared" si="9"/>
        <v>13.862000000000023</v>
      </c>
      <c r="D111" s="2">
        <f t="shared" si="8"/>
        <v>3.0392000000000001</v>
      </c>
    </row>
    <row r="112" spans="2:4" x14ac:dyDescent="0.35">
      <c r="B112">
        <v>110</v>
      </c>
      <c r="C112">
        <f t="shared" si="9"/>
        <v>13.980000000000024</v>
      </c>
      <c r="D112" s="2">
        <f t="shared" si="8"/>
        <v>3.4394</v>
      </c>
    </row>
    <row r="113" spans="2:4" x14ac:dyDescent="0.35">
      <c r="B113">
        <v>111</v>
      </c>
      <c r="C113">
        <f t="shared" si="9"/>
        <v>14.098000000000024</v>
      </c>
      <c r="D113" s="2">
        <f t="shared" si="8"/>
        <v>3.8187000000000002</v>
      </c>
    </row>
    <row r="114" spans="2:4" x14ac:dyDescent="0.35">
      <c r="B114">
        <v>112</v>
      </c>
      <c r="C114">
        <f t="shared" si="9"/>
        <v>14.216000000000024</v>
      </c>
      <c r="D114" s="2">
        <f t="shared" si="8"/>
        <v>4.1718000000000002</v>
      </c>
    </row>
    <row r="115" spans="2:4" x14ac:dyDescent="0.35">
      <c r="B115">
        <v>113</v>
      </c>
      <c r="C115">
        <f t="shared" si="9"/>
        <v>14.334000000000024</v>
      </c>
      <c r="D115" s="2">
        <f t="shared" si="8"/>
        <v>4.4938000000000002</v>
      </c>
    </row>
    <row r="116" spans="2:4" x14ac:dyDescent="0.35">
      <c r="B116">
        <v>114</v>
      </c>
      <c r="C116">
        <f t="shared" si="9"/>
        <v>14.452000000000025</v>
      </c>
      <c r="D116" s="2">
        <f t="shared" si="8"/>
        <v>4.7804000000000002</v>
      </c>
    </row>
    <row r="117" spans="2:4" x14ac:dyDescent="0.35">
      <c r="B117">
        <v>115</v>
      </c>
      <c r="C117">
        <f t="shared" si="9"/>
        <v>14.570000000000025</v>
      </c>
      <c r="D117" s="2">
        <f t="shared" si="8"/>
        <v>5.0275999999999996</v>
      </c>
    </row>
    <row r="118" spans="2:4" x14ac:dyDescent="0.35">
      <c r="B118">
        <v>116</v>
      </c>
      <c r="C118">
        <f t="shared" si="9"/>
        <v>14.688000000000025</v>
      </c>
      <c r="D118" s="2">
        <f t="shared" si="8"/>
        <v>5.2320000000000002</v>
      </c>
    </row>
    <row r="119" spans="2:4" x14ac:dyDescent="0.35">
      <c r="B119">
        <v>117</v>
      </c>
      <c r="C119">
        <f t="shared" si="9"/>
        <v>14.806000000000026</v>
      </c>
      <c r="D119" s="2">
        <f t="shared" si="8"/>
        <v>5.3909000000000002</v>
      </c>
    </row>
    <row r="120" spans="2:4" x14ac:dyDescent="0.35">
      <c r="B120">
        <v>118</v>
      </c>
      <c r="C120">
        <f t="shared" si="9"/>
        <v>14.924000000000026</v>
      </c>
      <c r="D120" s="2">
        <f t="shared" si="8"/>
        <v>5.5019999999999998</v>
      </c>
    </row>
    <row r="121" spans="2:4" x14ac:dyDescent="0.35">
      <c r="B121">
        <v>119</v>
      </c>
      <c r="C121">
        <f t="shared" si="9"/>
        <v>15.042000000000026</v>
      </c>
      <c r="D121" s="2">
        <f t="shared" si="8"/>
        <v>5.5640000000000001</v>
      </c>
    </row>
    <row r="122" spans="2:4" x14ac:dyDescent="0.35">
      <c r="B122">
        <v>120</v>
      </c>
      <c r="C122">
        <f t="shared" si="9"/>
        <v>15.160000000000027</v>
      </c>
      <c r="D122" s="2">
        <f t="shared" si="8"/>
        <v>5.5758999999999999</v>
      </c>
    </row>
    <row r="123" spans="2:4" x14ac:dyDescent="0.35">
      <c r="B123">
        <v>121</v>
      </c>
      <c r="C123">
        <f t="shared" si="9"/>
        <v>15.278000000000027</v>
      </c>
      <c r="D123" s="2">
        <f t="shared" si="8"/>
        <v>5.5377000000000001</v>
      </c>
    </row>
    <row r="124" spans="2:4" x14ac:dyDescent="0.35">
      <c r="B124">
        <v>122</v>
      </c>
      <c r="C124">
        <f t="shared" si="9"/>
        <v>15.396000000000027</v>
      </c>
      <c r="D124" s="2">
        <f t="shared" si="8"/>
        <v>5.4499000000000004</v>
      </c>
    </row>
    <row r="125" spans="2:4" x14ac:dyDescent="0.35">
      <c r="B125">
        <v>123</v>
      </c>
      <c r="C125">
        <f t="shared" si="9"/>
        <v>15.514000000000028</v>
      </c>
      <c r="D125" s="2">
        <f t="shared" si="8"/>
        <v>5.3139000000000003</v>
      </c>
    </row>
    <row r="126" spans="2:4" x14ac:dyDescent="0.35">
      <c r="B126">
        <v>124</v>
      </c>
      <c r="C126">
        <f t="shared" si="9"/>
        <v>15.632000000000028</v>
      </c>
      <c r="D126" s="2">
        <f t="shared" si="8"/>
        <v>5.1315</v>
      </c>
    </row>
    <row r="127" spans="2:4" x14ac:dyDescent="0.35">
      <c r="B127">
        <v>125</v>
      </c>
      <c r="C127">
        <f t="shared" si="9"/>
        <v>15.750000000000028</v>
      </c>
      <c r="D127" s="2">
        <f t="shared" si="8"/>
        <v>4.9054000000000002</v>
      </c>
    </row>
    <row r="128" spans="2:4" x14ac:dyDescent="0.35">
      <c r="B128">
        <v>126</v>
      </c>
      <c r="C128">
        <f t="shared" si="9"/>
        <v>15.868000000000029</v>
      </c>
      <c r="D128" s="2">
        <f t="shared" si="8"/>
        <v>4.6387999999999998</v>
      </c>
    </row>
    <row r="129" spans="2:4" x14ac:dyDescent="0.35">
      <c r="B129">
        <v>127</v>
      </c>
      <c r="C129">
        <f t="shared" si="9"/>
        <v>15.986000000000029</v>
      </c>
      <c r="D129" s="2">
        <f t="shared" si="8"/>
        <v>4.3353999999999999</v>
      </c>
    </row>
    <row r="130" spans="2:4" x14ac:dyDescent="0.35">
      <c r="B130">
        <v>128</v>
      </c>
      <c r="C130">
        <f t="shared" si="9"/>
        <v>16.104000000000028</v>
      </c>
      <c r="D130" s="2">
        <f t="shared" si="8"/>
        <v>3.9994999999999998</v>
      </c>
    </row>
    <row r="131" spans="2:4" x14ac:dyDescent="0.35">
      <c r="B131">
        <v>129</v>
      </c>
      <c r="C131">
        <f t="shared" si="9"/>
        <v>16.222000000000026</v>
      </c>
      <c r="D131" s="2">
        <f t="shared" ref="D131:D194" si="10">ROUND(POWER(C131,1/4)+2*SIN(C131)-3*COS(C131),4)</f>
        <v>3.6358000000000001</v>
      </c>
    </row>
    <row r="132" spans="2:4" x14ac:dyDescent="0.35">
      <c r="B132">
        <v>130</v>
      </c>
      <c r="C132">
        <f t="shared" si="9"/>
        <v>16.340000000000025</v>
      </c>
      <c r="D132" s="2">
        <f t="shared" si="10"/>
        <v>3.2494000000000001</v>
      </c>
    </row>
    <row r="133" spans="2:4" x14ac:dyDescent="0.35">
      <c r="B133">
        <v>131</v>
      </c>
      <c r="C133">
        <f t="shared" ref="C133:C196" si="11">C132+$C$1</f>
        <v>16.458000000000023</v>
      </c>
      <c r="D133" s="2">
        <f t="shared" si="10"/>
        <v>2.8458000000000001</v>
      </c>
    </row>
    <row r="134" spans="2:4" x14ac:dyDescent="0.35">
      <c r="B134">
        <v>132</v>
      </c>
      <c r="C134">
        <f t="shared" si="11"/>
        <v>16.576000000000022</v>
      </c>
      <c r="D134" s="2">
        <f t="shared" si="10"/>
        <v>2.4306000000000001</v>
      </c>
    </row>
    <row r="135" spans="2:4" x14ac:dyDescent="0.35">
      <c r="B135">
        <v>133</v>
      </c>
      <c r="C135">
        <f t="shared" si="11"/>
        <v>16.69400000000002</v>
      </c>
      <c r="D135" s="2">
        <f t="shared" si="10"/>
        <v>2.0097</v>
      </c>
    </row>
    <row r="136" spans="2:4" x14ac:dyDescent="0.35">
      <c r="B136">
        <v>134</v>
      </c>
      <c r="C136">
        <f t="shared" si="11"/>
        <v>16.812000000000019</v>
      </c>
      <c r="D136" s="2">
        <f t="shared" si="10"/>
        <v>1.5888</v>
      </c>
    </row>
    <row r="137" spans="2:4" x14ac:dyDescent="0.35">
      <c r="B137">
        <v>135</v>
      </c>
      <c r="C137">
        <f t="shared" si="11"/>
        <v>16.930000000000017</v>
      </c>
      <c r="D137" s="2">
        <f t="shared" si="10"/>
        <v>1.1740999999999999</v>
      </c>
    </row>
    <row r="138" spans="2:4" x14ac:dyDescent="0.35">
      <c r="B138">
        <v>136</v>
      </c>
      <c r="C138">
        <f t="shared" si="11"/>
        <v>17.048000000000016</v>
      </c>
      <c r="D138" s="2">
        <f t="shared" si="10"/>
        <v>0.77110000000000001</v>
      </c>
    </row>
    <row r="139" spans="2:4" x14ac:dyDescent="0.35">
      <c r="B139">
        <v>137</v>
      </c>
      <c r="C139">
        <f t="shared" si="11"/>
        <v>17.166000000000015</v>
      </c>
      <c r="D139" s="2">
        <f t="shared" si="10"/>
        <v>0.38569999999999999</v>
      </c>
    </row>
    <row r="140" spans="2:4" x14ac:dyDescent="0.35">
      <c r="B140">
        <v>138</v>
      </c>
      <c r="C140">
        <f t="shared" si="11"/>
        <v>17.284000000000013</v>
      </c>
      <c r="D140" s="2">
        <f t="shared" si="10"/>
        <v>2.3300000000000001E-2</v>
      </c>
    </row>
    <row r="141" spans="2:4" x14ac:dyDescent="0.35">
      <c r="B141">
        <v>139</v>
      </c>
      <c r="C141">
        <f t="shared" si="11"/>
        <v>17.402000000000012</v>
      </c>
      <c r="D141" s="2">
        <f t="shared" si="10"/>
        <v>-0.31119999999999998</v>
      </c>
    </row>
    <row r="142" spans="2:4" x14ac:dyDescent="0.35">
      <c r="B142">
        <v>140</v>
      </c>
      <c r="C142">
        <f t="shared" si="11"/>
        <v>17.52000000000001</v>
      </c>
      <c r="D142" s="2">
        <f t="shared" si="10"/>
        <v>-0.6129</v>
      </c>
    </row>
    <row r="143" spans="2:4" x14ac:dyDescent="0.35">
      <c r="B143">
        <v>141</v>
      </c>
      <c r="C143">
        <f t="shared" si="11"/>
        <v>17.638000000000009</v>
      </c>
      <c r="D143" s="2">
        <f t="shared" si="10"/>
        <v>-0.87770000000000004</v>
      </c>
    </row>
    <row r="144" spans="2:4" x14ac:dyDescent="0.35">
      <c r="B144">
        <v>142</v>
      </c>
      <c r="C144">
        <f t="shared" si="11"/>
        <v>17.756000000000007</v>
      </c>
      <c r="D144" s="2">
        <f t="shared" si="10"/>
        <v>-1.1017999999999999</v>
      </c>
    </row>
    <row r="145" spans="2:4" x14ac:dyDescent="0.35">
      <c r="B145">
        <v>143</v>
      </c>
      <c r="C145">
        <f t="shared" si="11"/>
        <v>17.874000000000006</v>
      </c>
      <c r="D145" s="2">
        <f t="shared" si="10"/>
        <v>-1.282</v>
      </c>
    </row>
    <row r="146" spans="2:4" x14ac:dyDescent="0.35">
      <c r="B146">
        <v>144</v>
      </c>
      <c r="C146">
        <f t="shared" si="11"/>
        <v>17.992000000000004</v>
      </c>
      <c r="D146" s="2">
        <f t="shared" si="10"/>
        <v>-1.4157999999999999</v>
      </c>
    </row>
    <row r="147" spans="2:4" x14ac:dyDescent="0.35">
      <c r="B147">
        <v>145</v>
      </c>
      <c r="C147">
        <f t="shared" si="11"/>
        <v>18.110000000000003</v>
      </c>
      <c r="D147" s="2">
        <f t="shared" si="10"/>
        <v>-1.5013000000000001</v>
      </c>
    </row>
    <row r="148" spans="2:4" x14ac:dyDescent="0.35">
      <c r="B148">
        <v>146</v>
      </c>
      <c r="C148">
        <f t="shared" si="11"/>
        <v>18.228000000000002</v>
      </c>
      <c r="D148" s="2">
        <f t="shared" si="10"/>
        <v>-1.5373000000000001</v>
      </c>
    </row>
    <row r="149" spans="2:4" x14ac:dyDescent="0.35">
      <c r="B149">
        <v>147</v>
      </c>
      <c r="C149">
        <f t="shared" si="11"/>
        <v>18.346</v>
      </c>
      <c r="D149" s="2">
        <f t="shared" si="10"/>
        <v>-1.5230999999999999</v>
      </c>
    </row>
    <row r="150" spans="2:4" x14ac:dyDescent="0.35">
      <c r="B150">
        <v>148</v>
      </c>
      <c r="C150">
        <f t="shared" si="11"/>
        <v>18.463999999999999</v>
      </c>
      <c r="D150" s="2">
        <f t="shared" si="10"/>
        <v>-1.4590000000000001</v>
      </c>
    </row>
    <row r="151" spans="2:4" x14ac:dyDescent="0.35">
      <c r="B151">
        <v>149</v>
      </c>
      <c r="C151">
        <f t="shared" si="11"/>
        <v>18.581999999999997</v>
      </c>
      <c r="D151" s="2">
        <f t="shared" si="10"/>
        <v>-1.3458000000000001</v>
      </c>
    </row>
    <row r="152" spans="2:4" x14ac:dyDescent="0.35">
      <c r="B152">
        <v>150</v>
      </c>
      <c r="C152">
        <f t="shared" si="11"/>
        <v>18.699999999999996</v>
      </c>
      <c r="D152" s="2">
        <f t="shared" si="10"/>
        <v>-1.1850000000000001</v>
      </c>
    </row>
    <row r="153" spans="2:4" x14ac:dyDescent="0.35">
      <c r="B153">
        <v>151</v>
      </c>
      <c r="C153">
        <f t="shared" si="11"/>
        <v>18.817999999999994</v>
      </c>
      <c r="D153" s="2">
        <f t="shared" si="10"/>
        <v>-0.9788</v>
      </c>
    </row>
    <row r="154" spans="2:4" x14ac:dyDescent="0.35">
      <c r="B154">
        <v>152</v>
      </c>
      <c r="C154">
        <f t="shared" si="11"/>
        <v>18.935999999999993</v>
      </c>
      <c r="D154" s="2">
        <f t="shared" si="10"/>
        <v>-0.73009999999999997</v>
      </c>
    </row>
    <row r="155" spans="2:4" x14ac:dyDescent="0.35">
      <c r="B155">
        <v>153</v>
      </c>
      <c r="C155">
        <f t="shared" si="11"/>
        <v>19.053999999999991</v>
      </c>
      <c r="D155" s="2">
        <f t="shared" si="10"/>
        <v>-0.44219999999999998</v>
      </c>
    </row>
    <row r="156" spans="2:4" x14ac:dyDescent="0.35">
      <c r="B156">
        <v>154</v>
      </c>
      <c r="C156">
        <f t="shared" si="11"/>
        <v>19.17199999999999</v>
      </c>
      <c r="D156" s="2">
        <f t="shared" si="10"/>
        <v>-0.1191</v>
      </c>
    </row>
    <row r="157" spans="2:4" x14ac:dyDescent="0.35">
      <c r="B157">
        <v>155</v>
      </c>
      <c r="C157">
        <f t="shared" si="11"/>
        <v>19.289999999999988</v>
      </c>
      <c r="D157" s="2">
        <f t="shared" si="10"/>
        <v>0.23469999999999999</v>
      </c>
    </row>
    <row r="158" spans="2:4" x14ac:dyDescent="0.35">
      <c r="B158">
        <v>156</v>
      </c>
      <c r="C158">
        <f t="shared" si="11"/>
        <v>19.407999999999987</v>
      </c>
      <c r="D158" s="2">
        <f t="shared" si="10"/>
        <v>0.61439999999999995</v>
      </c>
    </row>
    <row r="159" spans="2:4" x14ac:dyDescent="0.35">
      <c r="B159">
        <v>157</v>
      </c>
      <c r="C159">
        <f t="shared" si="11"/>
        <v>19.525999999999986</v>
      </c>
      <c r="D159" s="2">
        <f t="shared" si="10"/>
        <v>1.0146999999999999</v>
      </c>
    </row>
    <row r="160" spans="2:4" x14ac:dyDescent="0.35">
      <c r="B160">
        <v>158</v>
      </c>
      <c r="C160">
        <f t="shared" si="11"/>
        <v>19.643999999999984</v>
      </c>
      <c r="D160" s="2">
        <f t="shared" si="10"/>
        <v>1.4301999999999999</v>
      </c>
    </row>
    <row r="161" spans="2:4" x14ac:dyDescent="0.35">
      <c r="B161">
        <v>159</v>
      </c>
      <c r="C161">
        <f t="shared" si="11"/>
        <v>19.761999999999983</v>
      </c>
      <c r="D161" s="2">
        <f t="shared" si="10"/>
        <v>1.855</v>
      </c>
    </row>
    <row r="162" spans="2:4" x14ac:dyDescent="0.35">
      <c r="B162">
        <v>160</v>
      </c>
      <c r="C162">
        <f t="shared" si="11"/>
        <v>19.879999999999981</v>
      </c>
      <c r="D162" s="2">
        <f t="shared" si="10"/>
        <v>2.2833000000000001</v>
      </c>
    </row>
    <row r="163" spans="2:4" x14ac:dyDescent="0.35">
      <c r="B163">
        <v>161</v>
      </c>
      <c r="C163">
        <f t="shared" si="11"/>
        <v>19.99799999999998</v>
      </c>
      <c r="D163" s="2">
        <f t="shared" si="10"/>
        <v>2.7092000000000001</v>
      </c>
    </row>
    <row r="164" spans="2:4" x14ac:dyDescent="0.35">
      <c r="B164">
        <v>162</v>
      </c>
      <c r="C164">
        <f t="shared" si="11"/>
        <v>20.115999999999978</v>
      </c>
      <c r="D164" s="2">
        <f t="shared" si="10"/>
        <v>3.1269</v>
      </c>
    </row>
    <row r="165" spans="2:4" x14ac:dyDescent="0.35">
      <c r="B165">
        <v>163</v>
      </c>
      <c r="C165">
        <f t="shared" si="11"/>
        <v>20.233999999999977</v>
      </c>
      <c r="D165" s="2">
        <f t="shared" si="10"/>
        <v>3.5304000000000002</v>
      </c>
    </row>
    <row r="166" spans="2:4" x14ac:dyDescent="0.35">
      <c r="B166">
        <v>164</v>
      </c>
      <c r="C166">
        <f t="shared" si="11"/>
        <v>20.351999999999975</v>
      </c>
      <c r="D166" s="2">
        <f t="shared" si="10"/>
        <v>3.9144000000000001</v>
      </c>
    </row>
    <row r="167" spans="2:4" x14ac:dyDescent="0.35">
      <c r="B167">
        <v>165</v>
      </c>
      <c r="C167">
        <f t="shared" si="11"/>
        <v>20.469999999999974</v>
      </c>
      <c r="D167" s="2">
        <f t="shared" si="10"/>
        <v>4.2735000000000003</v>
      </c>
    </row>
    <row r="168" spans="2:4" x14ac:dyDescent="0.35">
      <c r="B168">
        <v>166</v>
      </c>
      <c r="C168">
        <f t="shared" si="11"/>
        <v>20.587999999999973</v>
      </c>
      <c r="D168" s="2">
        <f t="shared" si="10"/>
        <v>4.6026999999999996</v>
      </c>
    </row>
    <row r="169" spans="2:4" x14ac:dyDescent="0.35">
      <c r="B169">
        <v>167</v>
      </c>
      <c r="C169">
        <f t="shared" si="11"/>
        <v>20.705999999999971</v>
      </c>
      <c r="D169" s="2">
        <f t="shared" si="10"/>
        <v>4.8975</v>
      </c>
    </row>
    <row r="170" spans="2:4" x14ac:dyDescent="0.35">
      <c r="B170">
        <v>168</v>
      </c>
      <c r="C170">
        <f t="shared" si="11"/>
        <v>20.82399999999997</v>
      </c>
      <c r="D170" s="2">
        <f t="shared" si="10"/>
        <v>5.1538000000000004</v>
      </c>
    </row>
    <row r="171" spans="2:4" x14ac:dyDescent="0.35">
      <c r="B171">
        <v>169</v>
      </c>
      <c r="C171">
        <f t="shared" si="11"/>
        <v>20.941999999999968</v>
      </c>
      <c r="D171" s="2">
        <f t="shared" si="10"/>
        <v>5.3681000000000001</v>
      </c>
    </row>
    <row r="172" spans="2:4" x14ac:dyDescent="0.35">
      <c r="B172">
        <v>170</v>
      </c>
      <c r="C172">
        <f t="shared" si="11"/>
        <v>21.059999999999967</v>
      </c>
      <c r="D172" s="2">
        <f t="shared" si="10"/>
        <v>5.5376000000000003</v>
      </c>
    </row>
    <row r="173" spans="2:4" x14ac:dyDescent="0.35">
      <c r="B173">
        <v>171</v>
      </c>
      <c r="C173">
        <f t="shared" si="11"/>
        <v>21.177999999999965</v>
      </c>
      <c r="D173" s="2">
        <f t="shared" si="10"/>
        <v>5.6597999999999997</v>
      </c>
    </row>
    <row r="174" spans="2:4" x14ac:dyDescent="0.35">
      <c r="B174">
        <v>172</v>
      </c>
      <c r="C174">
        <f t="shared" si="11"/>
        <v>21.295999999999964</v>
      </c>
      <c r="D174" s="2">
        <f t="shared" si="10"/>
        <v>5.7331000000000003</v>
      </c>
    </row>
    <row r="175" spans="2:4" x14ac:dyDescent="0.35">
      <c r="B175">
        <v>173</v>
      </c>
      <c r="C175">
        <f t="shared" si="11"/>
        <v>21.413999999999962</v>
      </c>
      <c r="D175" s="2">
        <f t="shared" si="10"/>
        <v>5.7565</v>
      </c>
    </row>
    <row r="176" spans="2:4" x14ac:dyDescent="0.35">
      <c r="B176">
        <v>174</v>
      </c>
      <c r="C176">
        <f t="shared" si="11"/>
        <v>21.531999999999961</v>
      </c>
      <c r="D176" s="2">
        <f t="shared" si="10"/>
        <v>5.7298</v>
      </c>
    </row>
    <row r="177" spans="2:4" x14ac:dyDescent="0.35">
      <c r="B177">
        <v>175</v>
      </c>
      <c r="C177">
        <f t="shared" si="11"/>
        <v>21.649999999999959</v>
      </c>
      <c r="D177" s="2">
        <f t="shared" si="10"/>
        <v>5.6532999999999998</v>
      </c>
    </row>
    <row r="178" spans="2:4" x14ac:dyDescent="0.35">
      <c r="B178">
        <v>176</v>
      </c>
      <c r="C178">
        <f t="shared" si="11"/>
        <v>21.767999999999958</v>
      </c>
      <c r="D178" s="2">
        <f t="shared" si="10"/>
        <v>5.5282</v>
      </c>
    </row>
    <row r="179" spans="2:4" x14ac:dyDescent="0.35">
      <c r="B179">
        <v>177</v>
      </c>
      <c r="C179">
        <f t="shared" si="11"/>
        <v>21.885999999999957</v>
      </c>
      <c r="D179" s="2">
        <f t="shared" si="10"/>
        <v>5.3563000000000001</v>
      </c>
    </row>
    <row r="180" spans="2:4" x14ac:dyDescent="0.35">
      <c r="B180">
        <v>178</v>
      </c>
      <c r="C180">
        <f t="shared" si="11"/>
        <v>22.003999999999955</v>
      </c>
      <c r="D180" s="2">
        <f t="shared" si="10"/>
        <v>5.1398999999999999</v>
      </c>
    </row>
    <row r="181" spans="2:4" x14ac:dyDescent="0.35">
      <c r="B181">
        <v>179</v>
      </c>
      <c r="C181">
        <f t="shared" si="11"/>
        <v>22.121999999999954</v>
      </c>
      <c r="D181" s="2">
        <f t="shared" si="10"/>
        <v>4.8821000000000003</v>
      </c>
    </row>
    <row r="182" spans="2:4" x14ac:dyDescent="0.35">
      <c r="B182">
        <v>180</v>
      </c>
      <c r="C182">
        <f t="shared" si="11"/>
        <v>22.239999999999952</v>
      </c>
      <c r="D182" s="2">
        <f t="shared" si="10"/>
        <v>4.5865999999999998</v>
      </c>
    </row>
    <row r="183" spans="2:4" x14ac:dyDescent="0.35">
      <c r="B183">
        <v>181</v>
      </c>
      <c r="C183">
        <f t="shared" si="11"/>
        <v>22.357999999999951</v>
      </c>
      <c r="D183" s="2">
        <f t="shared" si="10"/>
        <v>4.2575000000000003</v>
      </c>
    </row>
    <row r="184" spans="2:4" x14ac:dyDescent="0.35">
      <c r="B184">
        <v>182</v>
      </c>
      <c r="C184">
        <f t="shared" si="11"/>
        <v>22.475999999999949</v>
      </c>
      <c r="D184" s="2">
        <f t="shared" si="10"/>
        <v>3.8994</v>
      </c>
    </row>
    <row r="185" spans="2:4" x14ac:dyDescent="0.35">
      <c r="B185">
        <v>183</v>
      </c>
      <c r="C185">
        <f t="shared" si="11"/>
        <v>22.593999999999948</v>
      </c>
      <c r="D185" s="2">
        <f t="shared" si="10"/>
        <v>3.5173999999999999</v>
      </c>
    </row>
    <row r="186" spans="2:4" x14ac:dyDescent="0.35">
      <c r="B186">
        <v>184</v>
      </c>
      <c r="C186">
        <f t="shared" si="11"/>
        <v>22.711999999999946</v>
      </c>
      <c r="D186" s="2">
        <f t="shared" si="10"/>
        <v>3.1166999999999998</v>
      </c>
    </row>
    <row r="187" spans="2:4" x14ac:dyDescent="0.35">
      <c r="B187">
        <v>185</v>
      </c>
      <c r="C187">
        <f t="shared" si="11"/>
        <v>22.829999999999945</v>
      </c>
      <c r="D187" s="2">
        <f t="shared" si="10"/>
        <v>2.7031000000000001</v>
      </c>
    </row>
    <row r="188" spans="2:4" x14ac:dyDescent="0.35">
      <c r="B188">
        <v>186</v>
      </c>
      <c r="C188">
        <f t="shared" si="11"/>
        <v>22.947999999999944</v>
      </c>
      <c r="D188" s="2">
        <f t="shared" si="10"/>
        <v>2.2822</v>
      </c>
    </row>
    <row r="189" spans="2:4" x14ac:dyDescent="0.35">
      <c r="B189">
        <v>187</v>
      </c>
      <c r="C189">
        <f t="shared" si="11"/>
        <v>23.065999999999942</v>
      </c>
      <c r="D189" s="2">
        <f t="shared" si="10"/>
        <v>1.8601000000000001</v>
      </c>
    </row>
    <row r="190" spans="2:4" x14ac:dyDescent="0.35">
      <c r="B190">
        <v>188</v>
      </c>
      <c r="C190">
        <f t="shared" si="11"/>
        <v>23.183999999999941</v>
      </c>
      <c r="D190" s="2">
        <f t="shared" si="10"/>
        <v>1.4424999999999999</v>
      </c>
    </row>
    <row r="191" spans="2:4" x14ac:dyDescent="0.35">
      <c r="B191">
        <v>189</v>
      </c>
      <c r="C191">
        <f t="shared" si="11"/>
        <v>23.301999999999939</v>
      </c>
      <c r="D191" s="2">
        <f t="shared" si="10"/>
        <v>1.0354000000000001</v>
      </c>
    </row>
    <row r="192" spans="2:4" x14ac:dyDescent="0.35">
      <c r="B192">
        <v>190</v>
      </c>
      <c r="C192">
        <f t="shared" si="11"/>
        <v>23.419999999999938</v>
      </c>
      <c r="D192" s="2">
        <f t="shared" si="10"/>
        <v>0.64439999999999997</v>
      </c>
    </row>
    <row r="193" spans="2:4" x14ac:dyDescent="0.35">
      <c r="B193">
        <v>191</v>
      </c>
      <c r="C193">
        <f t="shared" si="11"/>
        <v>23.537999999999936</v>
      </c>
      <c r="D193" s="2">
        <f t="shared" si="10"/>
        <v>0.27500000000000002</v>
      </c>
    </row>
    <row r="194" spans="2:4" x14ac:dyDescent="0.35">
      <c r="B194">
        <v>192</v>
      </c>
      <c r="C194">
        <f t="shared" si="11"/>
        <v>23.655999999999935</v>
      </c>
      <c r="D194" s="2">
        <f t="shared" si="10"/>
        <v>-6.7500000000000004E-2</v>
      </c>
    </row>
    <row r="195" spans="2:4" x14ac:dyDescent="0.35">
      <c r="B195">
        <v>193</v>
      </c>
      <c r="C195">
        <f t="shared" si="11"/>
        <v>23.773999999999933</v>
      </c>
      <c r="D195" s="2">
        <f t="shared" ref="D195:D202" si="12">ROUND(POWER(C195,1/4)+2*SIN(C195)-3*COS(C195),4)</f>
        <v>-0.3785</v>
      </c>
    </row>
    <row r="196" spans="2:4" x14ac:dyDescent="0.35">
      <c r="B196">
        <v>194</v>
      </c>
      <c r="C196">
        <f t="shared" si="11"/>
        <v>23.891999999999932</v>
      </c>
      <c r="D196" s="2">
        <f t="shared" si="12"/>
        <v>-0.65349999999999997</v>
      </c>
    </row>
    <row r="197" spans="2:4" x14ac:dyDescent="0.35">
      <c r="B197">
        <v>195</v>
      </c>
      <c r="C197">
        <f t="shared" ref="C197:C202" si="13">C196+$C$1</f>
        <v>24.009999999999931</v>
      </c>
      <c r="D197" s="2">
        <f t="shared" si="12"/>
        <v>-0.88859999999999995</v>
      </c>
    </row>
    <row r="198" spans="2:4" x14ac:dyDescent="0.35">
      <c r="B198">
        <v>196</v>
      </c>
      <c r="C198">
        <f t="shared" si="13"/>
        <v>24.127999999999929</v>
      </c>
      <c r="D198" s="2">
        <f t="shared" si="12"/>
        <v>-1.0807</v>
      </c>
    </row>
    <row r="199" spans="2:4" x14ac:dyDescent="0.35">
      <c r="B199">
        <v>197</v>
      </c>
      <c r="C199">
        <f t="shared" si="13"/>
        <v>24.245999999999928</v>
      </c>
      <c r="D199" s="2">
        <f t="shared" si="12"/>
        <v>-1.2267999999999999</v>
      </c>
    </row>
    <row r="200" spans="2:4" x14ac:dyDescent="0.35">
      <c r="B200">
        <v>198</v>
      </c>
      <c r="C200">
        <f t="shared" si="13"/>
        <v>24.363999999999926</v>
      </c>
      <c r="D200" s="2">
        <f t="shared" si="12"/>
        <v>-1.3250999999999999</v>
      </c>
    </row>
    <row r="201" spans="2:4" x14ac:dyDescent="0.35">
      <c r="B201">
        <v>199</v>
      </c>
      <c r="C201">
        <f t="shared" si="13"/>
        <v>24.481999999999925</v>
      </c>
      <c r="D201" s="2">
        <f t="shared" si="12"/>
        <v>-1.3741000000000001</v>
      </c>
    </row>
    <row r="202" spans="2:4" x14ac:dyDescent="0.35">
      <c r="B202">
        <v>200</v>
      </c>
      <c r="C202">
        <f t="shared" si="13"/>
        <v>24.599999999999923</v>
      </c>
      <c r="D202" s="2">
        <f t="shared" si="12"/>
        <v>-1.373</v>
      </c>
    </row>
    <row r="203" spans="2:4" x14ac:dyDescent="0.35">
      <c r="D20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EFA1-C0BC-4150-82A1-4A696C865C7E}">
  <dimension ref="B1:Q203"/>
  <sheetViews>
    <sheetView tabSelected="1" topLeftCell="B33" workbookViewId="0">
      <selection activeCell="P28" sqref="P28"/>
    </sheetView>
  </sheetViews>
  <sheetFormatPr defaultRowHeight="14.5" x14ac:dyDescent="0.35"/>
  <cols>
    <col min="4" max="4" width="12" bestFit="1" customWidth="1"/>
    <col min="9" max="9" width="11.81640625" bestFit="1" customWidth="1"/>
    <col min="10" max="10" width="12.453125" bestFit="1" customWidth="1"/>
    <col min="11" max="13" width="12" bestFit="1" customWidth="1"/>
    <col min="14" max="14" width="12.1796875" bestFit="1" customWidth="1"/>
    <col min="15" max="15" width="12.81640625" bestFit="1" customWidth="1"/>
    <col min="16" max="16" width="12.1796875" bestFit="1" customWidth="1"/>
  </cols>
  <sheetData>
    <row r="1" spans="2:16" x14ac:dyDescent="0.35">
      <c r="B1" t="s">
        <v>0</v>
      </c>
      <c r="C1">
        <v>0.11799999999999999</v>
      </c>
      <c r="D1" t="s">
        <v>4</v>
      </c>
      <c r="E1" s="1">
        <f>5+27*10^(-2)+7033*10^(-4)</f>
        <v>5.9733000000000001</v>
      </c>
      <c r="F1" s="1">
        <f>(E1-C2)/C1</f>
        <v>42.146610169491531</v>
      </c>
    </row>
    <row r="2" spans="2:16" x14ac:dyDescent="0.35">
      <c r="B2">
        <v>0</v>
      </c>
      <c r="C2">
        <v>1</v>
      </c>
      <c r="D2" s="2">
        <f>ROUND(POWER(C2,1/4)+2*SIN(C2)-3*COS(C2),4)</f>
        <v>1.0620000000000001</v>
      </c>
      <c r="F2">
        <v>8</v>
      </c>
      <c r="G2">
        <f>ROUND(F1-F2/2,0.5)</f>
        <v>38</v>
      </c>
      <c r="H2">
        <f>VLOOKUP(G2,B2:D202,2)</f>
        <v>5.4840000000000009</v>
      </c>
      <c r="I2" s="2">
        <f>VLOOKUP(G2,B2:D202,3)</f>
        <v>-1.9952000000000001</v>
      </c>
      <c r="J2" s="11"/>
      <c r="K2" s="11"/>
      <c r="L2" s="11"/>
      <c r="M2" s="11"/>
      <c r="N2" s="11"/>
      <c r="O2" s="11"/>
      <c r="P2" s="11"/>
    </row>
    <row r="3" spans="2:16" x14ac:dyDescent="0.35">
      <c r="B3">
        <v>1</v>
      </c>
      <c r="C3">
        <f>B3+$C$1</f>
        <v>1.1179999999999999</v>
      </c>
      <c r="D3" s="2">
        <f t="shared" ref="D3:D66" si="0">ROUND(POWER(C3,1/4)+2*SIN(C3)-3*COS(C3),4)</f>
        <v>1.5143</v>
      </c>
      <c r="G3">
        <f>G2+1</f>
        <v>39</v>
      </c>
      <c r="H3">
        <f t="shared" ref="H3:H9" si="1">VLOOKUP(G3,B3:D203,2)</f>
        <v>5.6020000000000012</v>
      </c>
      <c r="I3" s="2">
        <f t="shared" ref="I3:I9" si="2">VLOOKUP(G3,B3:D203,3)</f>
        <v>-2.0514999999999999</v>
      </c>
      <c r="J3" s="11">
        <f>I3-I2</f>
        <v>-5.6299999999999795E-2</v>
      </c>
      <c r="K3" s="11"/>
      <c r="L3" s="11"/>
      <c r="M3" s="11"/>
      <c r="N3" s="11"/>
      <c r="O3" s="11"/>
      <c r="P3" s="11"/>
    </row>
    <row r="4" spans="2:16" x14ac:dyDescent="0.35">
      <c r="B4">
        <v>2</v>
      </c>
      <c r="C4">
        <f>C3+$C$1</f>
        <v>1.2359999999999998</v>
      </c>
      <c r="D4" s="2">
        <f t="shared" si="0"/>
        <v>1.9576</v>
      </c>
      <c r="G4">
        <f t="shared" ref="G4:G9" si="3">G3+1</f>
        <v>40</v>
      </c>
      <c r="H4">
        <f t="shared" si="1"/>
        <v>5.7200000000000015</v>
      </c>
      <c r="I4" s="2">
        <f t="shared" si="2"/>
        <v>-2.0579000000000001</v>
      </c>
      <c r="J4" s="11">
        <f t="shared" ref="J4:O9" si="4">I4-I3</f>
        <v>-6.4000000000001833E-3</v>
      </c>
      <c r="K4" s="11">
        <f t="shared" si="4"/>
        <v>4.9899999999999611E-2</v>
      </c>
      <c r="L4" s="11"/>
      <c r="M4" s="11"/>
      <c r="N4" s="11"/>
      <c r="O4" s="11"/>
      <c r="P4" s="11"/>
    </row>
    <row r="5" spans="2:16" x14ac:dyDescent="0.35">
      <c r="B5">
        <v>3</v>
      </c>
      <c r="C5">
        <f t="shared" ref="C5:C68" si="5">C4+$C$1</f>
        <v>1.3539999999999996</v>
      </c>
      <c r="D5" s="2">
        <f t="shared" si="0"/>
        <v>2.3866000000000001</v>
      </c>
      <c r="G5">
        <f t="shared" si="3"/>
        <v>41</v>
      </c>
      <c r="H5">
        <f t="shared" si="1"/>
        <v>5.8380000000000019</v>
      </c>
      <c r="I5" s="2">
        <f t="shared" si="2"/>
        <v>-2.0144000000000002</v>
      </c>
      <c r="J5" s="11">
        <f t="shared" si="4"/>
        <v>4.3499999999999872E-2</v>
      </c>
      <c r="K5" s="11">
        <f>J5-J4</f>
        <v>4.9900000000000055E-2</v>
      </c>
      <c r="L5" s="11">
        <f t="shared" si="4"/>
        <v>4.4408920985006262E-16</v>
      </c>
      <c r="M5" s="11"/>
      <c r="N5" s="11"/>
      <c r="O5" s="11"/>
      <c r="P5" s="11"/>
    </row>
    <row r="6" spans="2:16" x14ac:dyDescent="0.35">
      <c r="B6">
        <v>4</v>
      </c>
      <c r="C6">
        <f t="shared" si="5"/>
        <v>1.4719999999999995</v>
      </c>
      <c r="D6" s="2">
        <f t="shared" si="0"/>
        <v>2.7957999999999998</v>
      </c>
      <c r="G6">
        <f t="shared" si="3"/>
        <v>42</v>
      </c>
      <c r="H6">
        <f t="shared" si="1"/>
        <v>5.9560000000000022</v>
      </c>
      <c r="I6" s="2">
        <f t="shared" si="2"/>
        <v>-1.9214</v>
      </c>
      <c r="J6" s="11">
        <f t="shared" si="4"/>
        <v>9.3000000000000194E-2</v>
      </c>
      <c r="K6" s="11">
        <f t="shared" si="4"/>
        <v>4.9500000000000322E-2</v>
      </c>
      <c r="L6" s="11">
        <f>K6-K5</f>
        <v>-3.999999999997339E-4</v>
      </c>
      <c r="M6" s="11">
        <f t="shared" si="4"/>
        <v>-4.0000000000017799E-4</v>
      </c>
      <c r="N6" s="11"/>
      <c r="O6" s="11"/>
      <c r="P6" s="11"/>
    </row>
    <row r="7" spans="2:16" x14ac:dyDescent="0.35">
      <c r="B7">
        <v>5</v>
      </c>
      <c r="C7">
        <f t="shared" si="5"/>
        <v>1.5899999999999994</v>
      </c>
      <c r="D7" s="2">
        <f t="shared" si="0"/>
        <v>3.1802000000000001</v>
      </c>
      <c r="G7">
        <f t="shared" si="3"/>
        <v>43</v>
      </c>
      <c r="H7">
        <f t="shared" si="1"/>
        <v>6.0740000000000025</v>
      </c>
      <c r="I7" s="2">
        <f t="shared" si="2"/>
        <v>-1.78</v>
      </c>
      <c r="J7" s="11">
        <f t="shared" si="4"/>
        <v>0.14139999999999997</v>
      </c>
      <c r="K7" s="11">
        <f t="shared" si="4"/>
        <v>4.8399999999999777E-2</v>
      </c>
      <c r="L7" s="11">
        <f t="shared" si="4"/>
        <v>-1.100000000000545E-3</v>
      </c>
      <c r="M7" s="11">
        <f t="shared" si="4"/>
        <v>-7.0000000000081108E-4</v>
      </c>
      <c r="N7" s="11">
        <f t="shared" si="4"/>
        <v>-3.0000000000063309E-4</v>
      </c>
      <c r="O7" s="11"/>
      <c r="P7" s="11"/>
    </row>
    <row r="8" spans="2:16" x14ac:dyDescent="0.35">
      <c r="B8">
        <v>6</v>
      </c>
      <c r="C8">
        <f t="shared" si="5"/>
        <v>1.7079999999999993</v>
      </c>
      <c r="D8" s="2">
        <f t="shared" si="0"/>
        <v>3.5347</v>
      </c>
      <c r="G8">
        <f t="shared" si="3"/>
        <v>44</v>
      </c>
      <c r="H8">
        <f t="shared" si="1"/>
        <v>6.1920000000000028</v>
      </c>
      <c r="I8" s="2">
        <f t="shared" si="2"/>
        <v>-1.5922000000000001</v>
      </c>
      <c r="J8" s="11">
        <f t="shared" si="4"/>
        <v>0.18779999999999997</v>
      </c>
      <c r="K8" s="11">
        <f t="shared" si="4"/>
        <v>4.6399999999999997E-2</v>
      </c>
      <c r="L8" s="11">
        <f t="shared" si="4"/>
        <v>-1.9999999999997797E-3</v>
      </c>
      <c r="M8" s="11">
        <f t="shared" si="4"/>
        <v>-8.9999999999923475E-4</v>
      </c>
      <c r="N8" s="11">
        <f>M8-M7</f>
        <v>-1.9999999999842366E-4</v>
      </c>
      <c r="O8" s="11">
        <f t="shared" si="4"/>
        <v>1.0000000000220943E-4</v>
      </c>
      <c r="P8" s="11"/>
    </row>
    <row r="9" spans="2:16" x14ac:dyDescent="0.35">
      <c r="B9">
        <v>7</v>
      </c>
      <c r="C9">
        <f t="shared" si="5"/>
        <v>1.8259999999999992</v>
      </c>
      <c r="D9" s="2">
        <f t="shared" si="0"/>
        <v>3.855</v>
      </c>
      <c r="G9">
        <f t="shared" si="3"/>
        <v>45</v>
      </c>
      <c r="H9">
        <f t="shared" si="1"/>
        <v>6.3100000000000032</v>
      </c>
      <c r="I9" s="2">
        <f t="shared" si="2"/>
        <v>-1.3604000000000001</v>
      </c>
      <c r="J9" s="11">
        <f t="shared" si="4"/>
        <v>0.23180000000000001</v>
      </c>
      <c r="K9" s="11">
        <f t="shared" si="4"/>
        <v>4.4000000000000039E-2</v>
      </c>
      <c r="L9" s="11">
        <f>K9-K8</f>
        <v>-2.3999999999999577E-3</v>
      </c>
      <c r="M9" s="11">
        <f t="shared" si="4"/>
        <v>-4.0000000000017799E-4</v>
      </c>
      <c r="N9" s="11">
        <f>M9-M8</f>
        <v>4.9999999999905675E-4</v>
      </c>
      <c r="O9" s="11">
        <f t="shared" si="4"/>
        <v>6.9999999999748042E-4</v>
      </c>
      <c r="P9" s="11">
        <f>O9-O8</f>
        <v>5.9999999999527098E-4</v>
      </c>
    </row>
    <row r="10" spans="2:16" x14ac:dyDescent="0.35">
      <c r="B10">
        <v>8</v>
      </c>
      <c r="C10">
        <f t="shared" si="5"/>
        <v>1.9439999999999991</v>
      </c>
      <c r="D10" s="2">
        <f t="shared" si="0"/>
        <v>4.1368999999999998</v>
      </c>
    </row>
    <row r="11" spans="2:16" ht="15" thickBot="1" x14ac:dyDescent="0.4">
      <c r="B11">
        <v>9</v>
      </c>
      <c r="C11">
        <f t="shared" si="5"/>
        <v>2.0619999999999989</v>
      </c>
      <c r="D11" s="2">
        <f t="shared" si="0"/>
        <v>4.3769</v>
      </c>
      <c r="I11" s="2">
        <f>I2</f>
        <v>-1.9952000000000001</v>
      </c>
      <c r="J11" s="2">
        <f>J3</f>
        <v>-5.6299999999999795E-2</v>
      </c>
      <c r="K11" s="2">
        <f>K4</f>
        <v>4.9899999999999611E-2</v>
      </c>
      <c r="L11" s="2">
        <f>L5</f>
        <v>4.4408920985006262E-16</v>
      </c>
      <c r="M11" s="2">
        <f>M6</f>
        <v>-4.0000000000017799E-4</v>
      </c>
      <c r="N11" s="2">
        <f>N7</f>
        <v>-3.0000000000063309E-4</v>
      </c>
      <c r="O11" s="2">
        <f>O8</f>
        <v>1.0000000000220943E-4</v>
      </c>
      <c r="P11" s="2">
        <f>P9</f>
        <v>5.9999999999527098E-4</v>
      </c>
    </row>
    <row r="12" spans="2:16" ht="15" thickBot="1" x14ac:dyDescent="0.4">
      <c r="B12">
        <v>10</v>
      </c>
      <c r="C12">
        <f t="shared" si="5"/>
        <v>2.1799999999999988</v>
      </c>
      <c r="D12" s="2">
        <f t="shared" si="0"/>
        <v>4.5720000000000001</v>
      </c>
      <c r="H12" s="23" t="s">
        <v>5</v>
      </c>
      <c r="I12" s="12">
        <f>I11</f>
        <v>-1.9952000000000001</v>
      </c>
      <c r="J12" s="13">
        <f>J11</f>
        <v>-5.6299999999999795E-2</v>
      </c>
      <c r="K12" s="14">
        <f>K11/2</f>
        <v>2.4949999999999806E-2</v>
      </c>
      <c r="L12" s="14">
        <f>L11/6</f>
        <v>7.4014868308343765E-17</v>
      </c>
      <c r="M12" s="14">
        <f>M11/24</f>
        <v>-1.6666666666674084E-5</v>
      </c>
      <c r="N12" s="14">
        <f>N11/120</f>
        <v>-2.5000000000052759E-6</v>
      </c>
      <c r="O12" s="14">
        <f>O11/720</f>
        <v>1.3888888889195755E-7</v>
      </c>
      <c r="P12" s="15">
        <f>P11/(7*6*5*4*3*2)</f>
        <v>1.1904761904668076E-7</v>
      </c>
    </row>
    <row r="13" spans="2:16" ht="15" thickBot="1" x14ac:dyDescent="0.4">
      <c r="B13">
        <v>11</v>
      </c>
      <c r="C13">
        <f t="shared" si="5"/>
        <v>2.2979999999999987</v>
      </c>
      <c r="D13" s="2">
        <f t="shared" si="0"/>
        <v>4.7195999999999998</v>
      </c>
    </row>
    <row r="14" spans="2:16" x14ac:dyDescent="0.35">
      <c r="B14">
        <v>12</v>
      </c>
      <c r="C14">
        <f t="shared" si="5"/>
        <v>2.4159999999999986</v>
      </c>
      <c r="D14" s="2">
        <f t="shared" si="0"/>
        <v>4.8182</v>
      </c>
      <c r="I14" s="3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5">
        <v>1</v>
      </c>
    </row>
    <row r="15" spans="2:16" x14ac:dyDescent="0.35">
      <c r="B15">
        <v>13</v>
      </c>
      <c r="C15">
        <f t="shared" si="5"/>
        <v>2.5339999999999985</v>
      </c>
      <c r="D15" s="2">
        <f t="shared" si="0"/>
        <v>4.8665000000000003</v>
      </c>
      <c r="H15">
        <v>0</v>
      </c>
      <c r="I15" s="6" cm="1">
        <f t="array" ref="I15:P15">J14:Q14-H15*I14:P14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 s="7">
        <v>0</v>
      </c>
    </row>
    <row r="16" spans="2:16" x14ac:dyDescent="0.35">
      <c r="B16">
        <v>14</v>
      </c>
      <c r="C16">
        <f t="shared" si="5"/>
        <v>2.6519999999999984</v>
      </c>
      <c r="D16" s="2">
        <f t="shared" si="0"/>
        <v>4.8642000000000003</v>
      </c>
      <c r="H16">
        <v>1</v>
      </c>
      <c r="I16" s="6" cm="1">
        <f t="array" ref="I16:P16">J15:Q15-H16*I15:P15</f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-1</v>
      </c>
      <c r="P16" s="7">
        <v>0</v>
      </c>
    </row>
    <row r="17" spans="2:17" x14ac:dyDescent="0.35">
      <c r="B17">
        <v>15</v>
      </c>
      <c r="C17">
        <f t="shared" si="5"/>
        <v>2.7699999999999982</v>
      </c>
      <c r="D17" s="2">
        <f t="shared" si="0"/>
        <v>4.8114999999999997</v>
      </c>
      <c r="H17">
        <v>2</v>
      </c>
      <c r="I17" s="6" cm="1">
        <f t="array" ref="I17:P17">J16:Q16-H17*I16:P16</f>
        <v>0</v>
      </c>
      <c r="J17">
        <v>0</v>
      </c>
      <c r="K17">
        <v>0</v>
      </c>
      <c r="L17">
        <v>0</v>
      </c>
      <c r="M17">
        <v>1</v>
      </c>
      <c r="N17">
        <v>-3</v>
      </c>
      <c r="O17">
        <v>2</v>
      </c>
      <c r="P17" s="7">
        <v>0</v>
      </c>
    </row>
    <row r="18" spans="2:17" x14ac:dyDescent="0.35">
      <c r="B18">
        <v>16</v>
      </c>
      <c r="C18">
        <f t="shared" si="5"/>
        <v>2.8879999999999981</v>
      </c>
      <c r="D18" s="2">
        <f t="shared" si="0"/>
        <v>4.7093999999999996</v>
      </c>
      <c r="H18">
        <v>3</v>
      </c>
      <c r="I18" s="6" cm="1">
        <f t="array" ref="I18:P18">J17:Q17-H18*I17:P17</f>
        <v>0</v>
      </c>
      <c r="J18">
        <v>0</v>
      </c>
      <c r="K18">
        <v>0</v>
      </c>
      <c r="L18">
        <v>1</v>
      </c>
      <c r="M18">
        <v>-6</v>
      </c>
      <c r="N18">
        <v>11</v>
      </c>
      <c r="O18">
        <v>-6</v>
      </c>
      <c r="P18" s="7">
        <v>0</v>
      </c>
    </row>
    <row r="19" spans="2:17" x14ac:dyDescent="0.35">
      <c r="B19">
        <v>17</v>
      </c>
      <c r="C19">
        <f t="shared" si="5"/>
        <v>3.005999999999998</v>
      </c>
      <c r="D19" s="2">
        <f t="shared" si="0"/>
        <v>4.5595999999999997</v>
      </c>
      <c r="H19">
        <v>4</v>
      </c>
      <c r="I19" s="6" cm="1">
        <f t="array" ref="I19:P19">J18:Q18-H19*I18:P18</f>
        <v>0</v>
      </c>
      <c r="J19">
        <v>0</v>
      </c>
      <c r="K19">
        <v>1</v>
      </c>
      <c r="L19">
        <v>-10</v>
      </c>
      <c r="M19">
        <v>35</v>
      </c>
      <c r="N19">
        <v>-50</v>
      </c>
      <c r="O19">
        <v>24</v>
      </c>
      <c r="P19" s="7">
        <v>0</v>
      </c>
    </row>
    <row r="20" spans="2:17" x14ac:dyDescent="0.35">
      <c r="B20">
        <v>18</v>
      </c>
      <c r="C20">
        <f t="shared" si="5"/>
        <v>3.1239999999999979</v>
      </c>
      <c r="D20" s="2">
        <f t="shared" si="0"/>
        <v>4.3642000000000003</v>
      </c>
      <c r="H20">
        <v>5</v>
      </c>
      <c r="I20" s="6" cm="1">
        <f t="array" ref="I20:P20">J19:Q19-H20*I19:P19</f>
        <v>0</v>
      </c>
      <c r="J20">
        <v>1</v>
      </c>
      <c r="K20">
        <v>-15</v>
      </c>
      <c r="L20">
        <v>85</v>
      </c>
      <c r="M20">
        <v>-225</v>
      </c>
      <c r="N20">
        <v>274</v>
      </c>
      <c r="O20">
        <v>-120</v>
      </c>
      <c r="P20" s="7">
        <v>0</v>
      </c>
    </row>
    <row r="21" spans="2:17" ht="15" thickBot="1" x14ac:dyDescent="0.4">
      <c r="B21">
        <v>19</v>
      </c>
      <c r="C21">
        <f t="shared" si="5"/>
        <v>3.2419999999999978</v>
      </c>
      <c r="D21" s="2">
        <f t="shared" si="0"/>
        <v>4.1262999999999996</v>
      </c>
      <c r="H21">
        <v>6</v>
      </c>
      <c r="I21" s="8" cm="1">
        <f t="array" ref="I21:P21">J20:Q20-H21*I20:P20</f>
        <v>1</v>
      </c>
      <c r="J21" s="9">
        <v>-21</v>
      </c>
      <c r="K21" s="9">
        <v>175</v>
      </c>
      <c r="L21" s="9">
        <v>-735</v>
      </c>
      <c r="M21" s="9">
        <v>1624</v>
      </c>
      <c r="N21" s="9">
        <v>-1764</v>
      </c>
      <c r="O21" s="9">
        <v>720</v>
      </c>
      <c r="P21" s="10">
        <v>0</v>
      </c>
    </row>
    <row r="22" spans="2:17" x14ac:dyDescent="0.35">
      <c r="B22">
        <v>20</v>
      </c>
      <c r="C22">
        <f t="shared" si="5"/>
        <v>3.3599999999999977</v>
      </c>
      <c r="D22" s="2">
        <f t="shared" si="0"/>
        <v>3.8492999999999999</v>
      </c>
    </row>
    <row r="23" spans="2:17" x14ac:dyDescent="0.35">
      <c r="B23">
        <v>21</v>
      </c>
      <c r="C23">
        <f t="shared" si="5"/>
        <v>3.4779999999999975</v>
      </c>
      <c r="D23" s="2">
        <f t="shared" si="0"/>
        <v>3.5373000000000001</v>
      </c>
      <c r="I23" cm="1">
        <f t="array" ref="I23:P23">MMULT(I12:P12,I14:P21)</f>
        <v>1.1904761904668076E-7</v>
      </c>
      <c r="J23">
        <v>-2.3611111110883382E-6</v>
      </c>
      <c r="K23">
        <v>1.6249999999784496E-5</v>
      </c>
      <c r="L23">
        <v>-6.7361111110115284E-5</v>
      </c>
      <c r="M23">
        <v>1.7458333333105294E-4</v>
      </c>
      <c r="N23">
        <v>2.4719722222224485E-2</v>
      </c>
      <c r="O23">
        <v>-8.1140952380952966E-2</v>
      </c>
      <c r="P23">
        <v>-1.9952000000000001</v>
      </c>
    </row>
    <row r="24" spans="2:17" x14ac:dyDescent="0.35">
      <c r="B24">
        <v>22</v>
      </c>
      <c r="C24">
        <f t="shared" si="5"/>
        <v>3.5959999999999974</v>
      </c>
      <c r="D24" s="2">
        <f t="shared" si="0"/>
        <v>3.1947999999999999</v>
      </c>
      <c r="H24">
        <f>(E1-H2)/C1</f>
        <v>4.1466101694915185</v>
      </c>
      <c r="I24">
        <f>I23</f>
        <v>1.1904761904668076E-7</v>
      </c>
      <c r="J24">
        <f>I24*$H$24+J23</f>
        <v>-1.8674670432956195E-6</v>
      </c>
      <c r="K24">
        <f t="shared" ref="K24:P26" si="6">J24*$H$24+K23</f>
        <v>8.5063421668646233E-6</v>
      </c>
      <c r="L24">
        <f t="shared" si="6"/>
        <v>-3.2088626175819917E-5</v>
      </c>
      <c r="M24">
        <f t="shared" si="6"/>
        <v>4.1524309705386341E-5</v>
      </c>
      <c r="N24">
        <f t="shared" si="6"/>
        <v>2.4891907347129955E-2</v>
      </c>
      <c r="O24">
        <f t="shared" si="6"/>
        <v>2.2076083762696749E-2</v>
      </c>
      <c r="P24" s="17">
        <f t="shared" si="6"/>
        <v>-1.9036590865670551</v>
      </c>
      <c r="Q24" s="20" t="s">
        <v>1</v>
      </c>
    </row>
    <row r="25" spans="2:17" x14ac:dyDescent="0.35">
      <c r="B25">
        <v>23</v>
      </c>
      <c r="C25">
        <f t="shared" si="5"/>
        <v>3.7139999999999973</v>
      </c>
      <c r="D25" s="2">
        <f t="shared" si="0"/>
        <v>2.8267000000000002</v>
      </c>
      <c r="I25">
        <f>I24</f>
        <v>1.1904761904668076E-7</v>
      </c>
      <c r="J25">
        <f>I25*$H$24+J24</f>
        <v>-1.3738229755029007E-6</v>
      </c>
      <c r="K25">
        <f t="shared" si="6"/>
        <v>2.8096338455631982E-6</v>
      </c>
      <c r="L25">
        <f t="shared" si="6"/>
        <v>-2.0438169899259995E-5</v>
      </c>
      <c r="M25">
        <f t="shared" si="6"/>
        <v>-4.3224813444680597E-5</v>
      </c>
      <c r="N25">
        <f t="shared" si="6"/>
        <v>2.4712670896125867E-2</v>
      </c>
      <c r="O25" s="16">
        <f t="shared" si="6"/>
        <v>0.12454989621586934</v>
      </c>
      <c r="P25" s="18">
        <f>(O25*1)/C1</f>
        <v>1.0555075950497403</v>
      </c>
      <c r="Q25" s="21" t="s">
        <v>2</v>
      </c>
    </row>
    <row r="26" spans="2:17" x14ac:dyDescent="0.35">
      <c r="B26">
        <v>24</v>
      </c>
      <c r="C26">
        <f t="shared" si="5"/>
        <v>3.8319999999999972</v>
      </c>
      <c r="D26" s="2">
        <f t="shared" si="0"/>
        <v>2.4384000000000001</v>
      </c>
      <c r="I26">
        <f>I25</f>
        <v>1.1904761904668076E-7</v>
      </c>
      <c r="J26">
        <f>I26*$H$24+J25</f>
        <v>-8.8017890771018206E-7</v>
      </c>
      <c r="K26">
        <f t="shared" si="6"/>
        <v>-8.401249641197795E-7</v>
      </c>
      <c r="L26">
        <f t="shared" si="6"/>
        <v>-2.3921840619122769E-5</v>
      </c>
      <c r="M26">
        <f t="shared" si="6"/>
        <v>-1.4241936102889034E-4</v>
      </c>
      <c r="N26" s="16">
        <f t="shared" si="6"/>
        <v>2.4122113325350986E-2</v>
      </c>
      <c r="P26" s="19">
        <f>(N26*2*1)/C1^2</f>
        <v>3.4648252406421989</v>
      </c>
      <c r="Q26" s="22" t="s">
        <v>3</v>
      </c>
    </row>
    <row r="27" spans="2:17" x14ac:dyDescent="0.35">
      <c r="B27">
        <v>25</v>
      </c>
      <c r="C27">
        <f t="shared" si="5"/>
        <v>3.9499999999999971</v>
      </c>
      <c r="D27" s="2">
        <f t="shared" si="0"/>
        <v>2.0354000000000001</v>
      </c>
      <c r="I27">
        <f>I26</f>
        <v>1.1904761904668076E-7</v>
      </c>
      <c r="J27">
        <f>J26+I27*$H$24</f>
        <v>-3.865348399174634E-7</v>
      </c>
      <c r="K27">
        <f t="shared" ref="K27:L27" si="7">K26+J27*$H$24</f>
        <v>-2.4429342621843092E-6</v>
      </c>
      <c r="L27">
        <f t="shared" si="7"/>
        <v>-3.4051736674095487E-5</v>
      </c>
      <c r="M27" s="16">
        <f>M26+L27*$H$24</f>
        <v>-2.8361863861054196E-4</v>
      </c>
      <c r="P27" s="19">
        <f>(M27*3*2*1)/C1^3</f>
        <v>-1.0357143571538789</v>
      </c>
    </row>
    <row r="28" spans="2:17" x14ac:dyDescent="0.35">
      <c r="B28">
        <v>26</v>
      </c>
      <c r="C28">
        <f t="shared" si="5"/>
        <v>4.067999999999997</v>
      </c>
      <c r="D28" s="2">
        <f t="shared" si="0"/>
        <v>1.6234</v>
      </c>
    </row>
    <row r="29" spans="2:17" x14ac:dyDescent="0.35">
      <c r="B29">
        <v>27</v>
      </c>
      <c r="C29">
        <f t="shared" si="5"/>
        <v>4.1859999999999973</v>
      </c>
      <c r="D29" s="2">
        <f t="shared" si="0"/>
        <v>1.2083999999999999</v>
      </c>
    </row>
    <row r="30" spans="2:17" x14ac:dyDescent="0.35">
      <c r="B30">
        <v>28</v>
      </c>
      <c r="C30">
        <f t="shared" si="5"/>
        <v>4.3039999999999976</v>
      </c>
      <c r="D30" s="2">
        <f t="shared" si="0"/>
        <v>0.79620000000000002</v>
      </c>
    </row>
    <row r="31" spans="2:17" x14ac:dyDescent="0.35">
      <c r="B31">
        <v>29</v>
      </c>
      <c r="C31">
        <f t="shared" si="5"/>
        <v>4.4219999999999979</v>
      </c>
      <c r="D31" s="2">
        <f t="shared" si="0"/>
        <v>0.39279999999999998</v>
      </c>
    </row>
    <row r="32" spans="2:17" x14ac:dyDescent="0.35">
      <c r="B32">
        <v>30</v>
      </c>
      <c r="C32">
        <f t="shared" si="5"/>
        <v>4.5399999999999983</v>
      </c>
      <c r="D32" s="2">
        <f t="shared" si="0"/>
        <v>4.0000000000000001E-3</v>
      </c>
      <c r="H32" s="2"/>
    </row>
    <row r="33" spans="2:4" x14ac:dyDescent="0.35">
      <c r="B33">
        <v>31</v>
      </c>
      <c r="C33">
        <f t="shared" si="5"/>
        <v>4.6579999999999986</v>
      </c>
      <c r="D33" s="2">
        <f t="shared" si="0"/>
        <v>-0.3649</v>
      </c>
    </row>
    <row r="34" spans="2:4" x14ac:dyDescent="0.35">
      <c r="B34">
        <v>32</v>
      </c>
      <c r="C34">
        <f t="shared" si="5"/>
        <v>4.7759999999999989</v>
      </c>
      <c r="D34" s="2">
        <f t="shared" si="0"/>
        <v>-0.70830000000000004</v>
      </c>
    </row>
    <row r="35" spans="2:4" x14ac:dyDescent="0.35">
      <c r="B35">
        <v>33</v>
      </c>
      <c r="C35">
        <f t="shared" si="5"/>
        <v>4.8939999999999992</v>
      </c>
      <c r="D35" s="2">
        <f t="shared" si="0"/>
        <v>-1.0216000000000001</v>
      </c>
    </row>
    <row r="36" spans="2:4" x14ac:dyDescent="0.35">
      <c r="B36">
        <v>34</v>
      </c>
      <c r="C36">
        <f t="shared" si="5"/>
        <v>5.0119999999999996</v>
      </c>
      <c r="D36" s="2">
        <f t="shared" si="0"/>
        <v>-1.3001</v>
      </c>
    </row>
    <row r="37" spans="2:4" x14ac:dyDescent="0.35">
      <c r="B37">
        <v>35</v>
      </c>
      <c r="C37">
        <f t="shared" si="5"/>
        <v>5.13</v>
      </c>
      <c r="D37" s="2">
        <f t="shared" si="0"/>
        <v>-1.5399</v>
      </c>
    </row>
    <row r="38" spans="2:4" x14ac:dyDescent="0.35">
      <c r="B38">
        <v>36</v>
      </c>
      <c r="C38">
        <f t="shared" si="5"/>
        <v>5.2480000000000002</v>
      </c>
      <c r="D38" s="2">
        <f t="shared" si="0"/>
        <v>-1.7375</v>
      </c>
    </row>
    <row r="39" spans="2:4" x14ac:dyDescent="0.35">
      <c r="B39">
        <v>37</v>
      </c>
      <c r="C39">
        <f t="shared" si="5"/>
        <v>5.3660000000000005</v>
      </c>
      <c r="D39" s="2">
        <f t="shared" si="0"/>
        <v>-1.89</v>
      </c>
    </row>
    <row r="40" spans="2:4" x14ac:dyDescent="0.35">
      <c r="B40">
        <v>38</v>
      </c>
      <c r="C40">
        <f t="shared" si="5"/>
        <v>5.4840000000000009</v>
      </c>
      <c r="D40" s="2">
        <f t="shared" si="0"/>
        <v>-1.9952000000000001</v>
      </c>
    </row>
    <row r="41" spans="2:4" x14ac:dyDescent="0.35">
      <c r="B41">
        <v>39</v>
      </c>
      <c r="C41">
        <f t="shared" si="5"/>
        <v>5.6020000000000012</v>
      </c>
      <c r="D41" s="2">
        <f t="shared" si="0"/>
        <v>-2.0514999999999999</v>
      </c>
    </row>
    <row r="42" spans="2:4" x14ac:dyDescent="0.35">
      <c r="B42">
        <v>40</v>
      </c>
      <c r="C42">
        <f t="shared" si="5"/>
        <v>5.7200000000000015</v>
      </c>
      <c r="D42" s="2">
        <f t="shared" si="0"/>
        <v>-2.0579000000000001</v>
      </c>
    </row>
    <row r="43" spans="2:4" x14ac:dyDescent="0.35">
      <c r="B43">
        <v>41</v>
      </c>
      <c r="C43">
        <f t="shared" si="5"/>
        <v>5.8380000000000019</v>
      </c>
      <c r="D43" s="2">
        <f t="shared" si="0"/>
        <v>-2.0144000000000002</v>
      </c>
    </row>
    <row r="44" spans="2:4" x14ac:dyDescent="0.35">
      <c r="B44">
        <v>42</v>
      </c>
      <c r="C44">
        <f t="shared" si="5"/>
        <v>5.9560000000000022</v>
      </c>
      <c r="D44" s="2">
        <f t="shared" si="0"/>
        <v>-1.9214</v>
      </c>
    </row>
    <row r="45" spans="2:4" x14ac:dyDescent="0.35">
      <c r="B45">
        <v>43</v>
      </c>
      <c r="C45">
        <f t="shared" si="5"/>
        <v>6.0740000000000025</v>
      </c>
      <c r="D45" s="2">
        <f t="shared" si="0"/>
        <v>-1.78</v>
      </c>
    </row>
    <row r="46" spans="2:4" x14ac:dyDescent="0.35">
      <c r="B46">
        <v>44</v>
      </c>
      <c r="C46">
        <f t="shared" si="5"/>
        <v>6.1920000000000028</v>
      </c>
      <c r="D46" s="2">
        <f t="shared" si="0"/>
        <v>-1.5922000000000001</v>
      </c>
    </row>
    <row r="47" spans="2:4" x14ac:dyDescent="0.35">
      <c r="B47">
        <v>45</v>
      </c>
      <c r="C47">
        <f t="shared" si="5"/>
        <v>6.3100000000000032</v>
      </c>
      <c r="D47" s="2">
        <f t="shared" si="0"/>
        <v>-1.3604000000000001</v>
      </c>
    </row>
    <row r="48" spans="2:4" x14ac:dyDescent="0.35">
      <c r="B48">
        <v>46</v>
      </c>
      <c r="C48">
        <f t="shared" si="5"/>
        <v>6.4280000000000035</v>
      </c>
      <c r="D48" s="2">
        <f t="shared" si="0"/>
        <v>-1.0876999999999999</v>
      </c>
    </row>
    <row r="49" spans="2:4" x14ac:dyDescent="0.35">
      <c r="B49">
        <v>47</v>
      </c>
      <c r="C49">
        <f t="shared" si="5"/>
        <v>6.5460000000000038</v>
      </c>
      <c r="D49" s="2">
        <f t="shared" si="0"/>
        <v>-0.77790000000000004</v>
      </c>
    </row>
    <row r="50" spans="2:4" x14ac:dyDescent="0.35">
      <c r="B50">
        <v>48</v>
      </c>
      <c r="C50">
        <f t="shared" si="5"/>
        <v>6.6640000000000041</v>
      </c>
      <c r="D50" s="2">
        <f t="shared" si="0"/>
        <v>-0.435</v>
      </c>
    </row>
    <row r="51" spans="2:4" x14ac:dyDescent="0.35">
      <c r="B51">
        <v>49</v>
      </c>
      <c r="C51">
        <f t="shared" si="5"/>
        <v>6.7820000000000045</v>
      </c>
      <c r="D51" s="2">
        <f t="shared" si="0"/>
        <v>-6.3899999999999998E-2</v>
      </c>
    </row>
    <row r="52" spans="2:4" x14ac:dyDescent="0.35">
      <c r="B52">
        <v>50</v>
      </c>
      <c r="C52">
        <f t="shared" si="5"/>
        <v>6.9000000000000048</v>
      </c>
      <c r="D52" s="2">
        <f t="shared" si="0"/>
        <v>0.33040000000000003</v>
      </c>
    </row>
    <row r="53" spans="2:4" x14ac:dyDescent="0.35">
      <c r="B53">
        <v>51</v>
      </c>
      <c r="C53">
        <f t="shared" si="5"/>
        <v>7.0180000000000051</v>
      </c>
      <c r="D53" s="2">
        <f t="shared" si="0"/>
        <v>0.74270000000000003</v>
      </c>
    </row>
    <row r="54" spans="2:4" x14ac:dyDescent="0.35">
      <c r="B54">
        <v>52</v>
      </c>
      <c r="C54">
        <f t="shared" si="5"/>
        <v>7.1360000000000054</v>
      </c>
      <c r="D54" s="2">
        <f t="shared" si="0"/>
        <v>1.1671</v>
      </c>
    </row>
    <row r="55" spans="2:4" x14ac:dyDescent="0.35">
      <c r="B55">
        <v>53</v>
      </c>
      <c r="C55">
        <f t="shared" si="5"/>
        <v>7.2540000000000058</v>
      </c>
      <c r="D55" s="2">
        <f t="shared" si="0"/>
        <v>1.5979000000000001</v>
      </c>
    </row>
    <row r="56" spans="2:4" x14ac:dyDescent="0.35">
      <c r="B56">
        <v>54</v>
      </c>
      <c r="C56">
        <f t="shared" si="5"/>
        <v>7.3720000000000061</v>
      </c>
      <c r="D56" s="2">
        <f t="shared" si="0"/>
        <v>2.0293000000000001</v>
      </c>
    </row>
    <row r="57" spans="2:4" x14ac:dyDescent="0.35">
      <c r="B57">
        <v>55</v>
      </c>
      <c r="C57">
        <f t="shared" si="5"/>
        <v>7.4900000000000064</v>
      </c>
      <c r="D57" s="2">
        <f t="shared" si="0"/>
        <v>2.4552999999999998</v>
      </c>
    </row>
    <row r="58" spans="2:4" x14ac:dyDescent="0.35">
      <c r="B58">
        <v>56</v>
      </c>
      <c r="C58">
        <f t="shared" si="5"/>
        <v>7.6080000000000068</v>
      </c>
      <c r="D58" s="2">
        <f t="shared" si="0"/>
        <v>2.8700999999999999</v>
      </c>
    </row>
    <row r="59" spans="2:4" x14ac:dyDescent="0.35">
      <c r="B59">
        <v>57</v>
      </c>
      <c r="C59">
        <f t="shared" si="5"/>
        <v>7.7260000000000071</v>
      </c>
      <c r="D59" s="2">
        <f t="shared" si="0"/>
        <v>3.2679</v>
      </c>
    </row>
    <row r="60" spans="2:4" x14ac:dyDescent="0.35">
      <c r="B60">
        <v>58</v>
      </c>
      <c r="C60">
        <f t="shared" si="5"/>
        <v>7.8440000000000074</v>
      </c>
      <c r="D60" s="2">
        <f t="shared" si="0"/>
        <v>3.6435</v>
      </c>
    </row>
    <row r="61" spans="2:4" x14ac:dyDescent="0.35">
      <c r="B61">
        <v>59</v>
      </c>
      <c r="C61">
        <f t="shared" si="5"/>
        <v>7.9620000000000077</v>
      </c>
      <c r="D61" s="2">
        <f t="shared" si="0"/>
        <v>3.9916</v>
      </c>
    </row>
    <row r="62" spans="2:4" x14ac:dyDescent="0.35">
      <c r="B62">
        <v>60</v>
      </c>
      <c r="C62">
        <f t="shared" si="5"/>
        <v>8.0800000000000072</v>
      </c>
      <c r="D62" s="2">
        <f t="shared" si="0"/>
        <v>4.3074000000000003</v>
      </c>
    </row>
    <row r="63" spans="2:4" x14ac:dyDescent="0.35">
      <c r="B63">
        <v>61</v>
      </c>
      <c r="C63">
        <f t="shared" si="5"/>
        <v>8.1980000000000075</v>
      </c>
      <c r="D63" s="2">
        <f t="shared" si="0"/>
        <v>4.5867000000000004</v>
      </c>
    </row>
    <row r="64" spans="2:4" x14ac:dyDescent="0.35">
      <c r="B64">
        <v>62</v>
      </c>
      <c r="C64">
        <f t="shared" si="5"/>
        <v>8.3160000000000078</v>
      </c>
      <c r="D64" s="2">
        <f t="shared" si="0"/>
        <v>4.8257000000000003</v>
      </c>
    </row>
    <row r="65" spans="2:4" x14ac:dyDescent="0.35">
      <c r="B65">
        <v>63</v>
      </c>
      <c r="C65">
        <f t="shared" si="5"/>
        <v>8.4340000000000082</v>
      </c>
      <c r="D65" s="2">
        <f t="shared" si="0"/>
        <v>5.0212000000000003</v>
      </c>
    </row>
    <row r="66" spans="2:4" x14ac:dyDescent="0.35">
      <c r="B66">
        <v>64</v>
      </c>
      <c r="C66">
        <f t="shared" si="5"/>
        <v>8.5520000000000085</v>
      </c>
      <c r="D66" s="2">
        <f t="shared" si="0"/>
        <v>5.1703999999999999</v>
      </c>
    </row>
    <row r="67" spans="2:4" x14ac:dyDescent="0.35">
      <c r="B67">
        <v>65</v>
      </c>
      <c r="C67">
        <f t="shared" si="5"/>
        <v>8.6700000000000088</v>
      </c>
      <c r="D67" s="2">
        <f t="shared" ref="D67:D130" si="8">ROUND(POWER(C67,1/4)+2*SIN(C67)-3*COS(C67),4)</f>
        <v>5.2714999999999996</v>
      </c>
    </row>
    <row r="68" spans="2:4" x14ac:dyDescent="0.35">
      <c r="B68">
        <v>66</v>
      </c>
      <c r="C68">
        <f t="shared" si="5"/>
        <v>8.7880000000000091</v>
      </c>
      <c r="D68" s="2">
        <f t="shared" si="8"/>
        <v>5.3230000000000004</v>
      </c>
    </row>
    <row r="69" spans="2:4" x14ac:dyDescent="0.35">
      <c r="B69">
        <v>67</v>
      </c>
      <c r="C69">
        <f t="shared" ref="C69:C132" si="9">C68+$C$1</f>
        <v>8.9060000000000095</v>
      </c>
      <c r="D69" s="2">
        <f t="shared" si="8"/>
        <v>5.3243999999999998</v>
      </c>
    </row>
    <row r="70" spans="2:4" x14ac:dyDescent="0.35">
      <c r="B70">
        <v>68</v>
      </c>
      <c r="C70">
        <f t="shared" si="9"/>
        <v>9.0240000000000098</v>
      </c>
      <c r="D70" s="2">
        <f t="shared" si="8"/>
        <v>5.2756999999999996</v>
      </c>
    </row>
    <row r="71" spans="2:4" x14ac:dyDescent="0.35">
      <c r="B71">
        <v>69</v>
      </c>
      <c r="C71">
        <f t="shared" si="9"/>
        <v>9.1420000000000101</v>
      </c>
      <c r="D71" s="2">
        <f t="shared" si="8"/>
        <v>5.1776999999999997</v>
      </c>
    </row>
    <row r="72" spans="2:4" x14ac:dyDescent="0.35">
      <c r="B72">
        <v>70</v>
      </c>
      <c r="C72">
        <f t="shared" si="9"/>
        <v>9.2600000000000104</v>
      </c>
      <c r="D72" s="2">
        <f t="shared" si="8"/>
        <v>5.0319000000000003</v>
      </c>
    </row>
    <row r="73" spans="2:4" x14ac:dyDescent="0.35">
      <c r="B73">
        <v>71</v>
      </c>
      <c r="C73">
        <f t="shared" si="9"/>
        <v>9.3780000000000108</v>
      </c>
      <c r="D73" s="2">
        <f t="shared" si="8"/>
        <v>4.8402000000000003</v>
      </c>
    </row>
    <row r="74" spans="2:4" x14ac:dyDescent="0.35">
      <c r="B74">
        <v>72</v>
      </c>
      <c r="C74">
        <f t="shared" si="9"/>
        <v>9.4960000000000111</v>
      </c>
      <c r="D74" s="2">
        <f t="shared" si="8"/>
        <v>4.6055000000000001</v>
      </c>
    </row>
    <row r="75" spans="2:4" x14ac:dyDescent="0.35">
      <c r="B75">
        <v>73</v>
      </c>
      <c r="C75">
        <f t="shared" si="9"/>
        <v>9.6140000000000114</v>
      </c>
      <c r="D75" s="2">
        <f t="shared" si="8"/>
        <v>4.3311000000000002</v>
      </c>
    </row>
    <row r="76" spans="2:4" x14ac:dyDescent="0.35">
      <c r="B76">
        <v>74</v>
      </c>
      <c r="C76">
        <f t="shared" si="9"/>
        <v>9.7320000000000118</v>
      </c>
      <c r="D76" s="2">
        <f t="shared" si="8"/>
        <v>4.0209999999999999</v>
      </c>
    </row>
    <row r="77" spans="2:4" x14ac:dyDescent="0.35">
      <c r="B77">
        <v>75</v>
      </c>
      <c r="C77">
        <f t="shared" si="9"/>
        <v>9.8500000000000121</v>
      </c>
      <c r="D77" s="2">
        <f t="shared" si="8"/>
        <v>3.6793999999999998</v>
      </c>
    </row>
    <row r="78" spans="2:4" x14ac:dyDescent="0.35">
      <c r="B78">
        <v>76</v>
      </c>
      <c r="C78">
        <f t="shared" si="9"/>
        <v>9.9680000000000124</v>
      </c>
      <c r="D78" s="2">
        <f t="shared" si="8"/>
        <v>3.3111999999999999</v>
      </c>
    </row>
    <row r="79" spans="2:4" x14ac:dyDescent="0.35">
      <c r="B79">
        <v>77</v>
      </c>
      <c r="C79">
        <f t="shared" si="9"/>
        <v>10.086000000000013</v>
      </c>
      <c r="D79" s="2">
        <f t="shared" si="8"/>
        <v>2.9217</v>
      </c>
    </row>
    <row r="80" spans="2:4" x14ac:dyDescent="0.35">
      <c r="B80">
        <v>78</v>
      </c>
      <c r="C80">
        <f t="shared" si="9"/>
        <v>10.204000000000013</v>
      </c>
      <c r="D80" s="2">
        <f t="shared" si="8"/>
        <v>2.5162</v>
      </c>
    </row>
    <row r="81" spans="2:4" x14ac:dyDescent="0.35">
      <c r="B81">
        <v>79</v>
      </c>
      <c r="C81">
        <f t="shared" si="9"/>
        <v>10.322000000000013</v>
      </c>
      <c r="D81" s="2">
        <f t="shared" si="8"/>
        <v>2.1006</v>
      </c>
    </row>
    <row r="82" spans="2:4" x14ac:dyDescent="0.35">
      <c r="B82">
        <v>80</v>
      </c>
      <c r="C82">
        <f t="shared" si="9"/>
        <v>10.440000000000014</v>
      </c>
      <c r="D82" s="2">
        <f t="shared" si="8"/>
        <v>1.6806000000000001</v>
      </c>
    </row>
    <row r="83" spans="2:4" x14ac:dyDescent="0.35">
      <c r="B83">
        <v>81</v>
      </c>
      <c r="C83">
        <f t="shared" si="9"/>
        <v>10.558000000000014</v>
      </c>
      <c r="D83" s="2">
        <f t="shared" si="8"/>
        <v>1.2622</v>
      </c>
    </row>
    <row r="84" spans="2:4" x14ac:dyDescent="0.35">
      <c r="B84">
        <v>82</v>
      </c>
      <c r="C84">
        <f t="shared" si="9"/>
        <v>10.676000000000014</v>
      </c>
      <c r="D84" s="2">
        <f t="shared" si="8"/>
        <v>0.85129999999999995</v>
      </c>
    </row>
    <row r="85" spans="2:4" x14ac:dyDescent="0.35">
      <c r="B85">
        <v>83</v>
      </c>
      <c r="C85">
        <f t="shared" si="9"/>
        <v>10.794000000000015</v>
      </c>
      <c r="D85" s="2">
        <f t="shared" si="8"/>
        <v>0.45369999999999999</v>
      </c>
    </row>
    <row r="86" spans="2:4" x14ac:dyDescent="0.35">
      <c r="B86">
        <v>84</v>
      </c>
      <c r="C86">
        <f t="shared" si="9"/>
        <v>10.912000000000015</v>
      </c>
      <c r="D86" s="2">
        <f t="shared" si="8"/>
        <v>7.4899999999999994E-2</v>
      </c>
    </row>
    <row r="87" spans="2:4" x14ac:dyDescent="0.35">
      <c r="B87">
        <v>85</v>
      </c>
      <c r="C87">
        <f t="shared" si="9"/>
        <v>11.030000000000015</v>
      </c>
      <c r="D87" s="2">
        <f t="shared" si="8"/>
        <v>-0.2797</v>
      </c>
    </row>
    <row r="88" spans="2:4" x14ac:dyDescent="0.35">
      <c r="B88">
        <v>86</v>
      </c>
      <c r="C88">
        <f t="shared" si="9"/>
        <v>11.148000000000016</v>
      </c>
      <c r="D88" s="2">
        <f t="shared" si="8"/>
        <v>-0.60509999999999997</v>
      </c>
    </row>
    <row r="89" spans="2:4" x14ac:dyDescent="0.35">
      <c r="B89">
        <v>87</v>
      </c>
      <c r="C89">
        <f t="shared" si="9"/>
        <v>11.266000000000016</v>
      </c>
      <c r="D89" s="2">
        <f t="shared" si="8"/>
        <v>-0.89670000000000005</v>
      </c>
    </row>
    <row r="90" spans="2:4" x14ac:dyDescent="0.35">
      <c r="B90">
        <v>88</v>
      </c>
      <c r="C90">
        <f t="shared" si="9"/>
        <v>11.384000000000016</v>
      </c>
      <c r="D90" s="2">
        <f t="shared" si="8"/>
        <v>-1.1504000000000001</v>
      </c>
    </row>
    <row r="91" spans="2:4" x14ac:dyDescent="0.35">
      <c r="B91">
        <v>89</v>
      </c>
      <c r="C91">
        <f t="shared" si="9"/>
        <v>11.502000000000017</v>
      </c>
      <c r="D91" s="2">
        <f t="shared" si="8"/>
        <v>-1.3625</v>
      </c>
    </row>
    <row r="92" spans="2:4" x14ac:dyDescent="0.35">
      <c r="B92">
        <v>90</v>
      </c>
      <c r="C92">
        <f t="shared" si="9"/>
        <v>11.620000000000017</v>
      </c>
      <c r="D92" s="2">
        <f t="shared" si="8"/>
        <v>-1.5302</v>
      </c>
    </row>
    <row r="93" spans="2:4" x14ac:dyDescent="0.35">
      <c r="B93">
        <v>91</v>
      </c>
      <c r="C93">
        <f t="shared" si="9"/>
        <v>11.738000000000017</v>
      </c>
      <c r="D93" s="2">
        <f t="shared" si="8"/>
        <v>-1.6509</v>
      </c>
    </row>
    <row r="94" spans="2:4" x14ac:dyDescent="0.35">
      <c r="B94">
        <v>92</v>
      </c>
      <c r="C94">
        <f t="shared" si="9"/>
        <v>11.856000000000018</v>
      </c>
      <c r="D94" s="2">
        <f t="shared" si="8"/>
        <v>-1.7230000000000001</v>
      </c>
    </row>
    <row r="95" spans="2:4" x14ac:dyDescent="0.35">
      <c r="B95">
        <v>93</v>
      </c>
      <c r="C95">
        <f t="shared" si="9"/>
        <v>11.974000000000018</v>
      </c>
      <c r="D95" s="2">
        <f t="shared" si="8"/>
        <v>-1.7453000000000001</v>
      </c>
    </row>
    <row r="96" spans="2:4" x14ac:dyDescent="0.35">
      <c r="B96">
        <v>94</v>
      </c>
      <c r="C96">
        <f t="shared" si="9"/>
        <v>12.092000000000018</v>
      </c>
      <c r="D96" s="2">
        <f t="shared" si="8"/>
        <v>-1.7175</v>
      </c>
    </row>
    <row r="97" spans="2:4" x14ac:dyDescent="0.35">
      <c r="B97">
        <v>95</v>
      </c>
      <c r="C97">
        <f t="shared" si="9"/>
        <v>12.210000000000019</v>
      </c>
      <c r="D97" s="2">
        <f t="shared" si="8"/>
        <v>-1.64</v>
      </c>
    </row>
    <row r="98" spans="2:4" x14ac:dyDescent="0.35">
      <c r="B98">
        <v>96</v>
      </c>
      <c r="C98">
        <f t="shared" si="9"/>
        <v>12.328000000000019</v>
      </c>
      <c r="D98" s="2">
        <f t="shared" si="8"/>
        <v>-1.5136000000000001</v>
      </c>
    </row>
    <row r="99" spans="2:4" x14ac:dyDescent="0.35">
      <c r="B99">
        <v>97</v>
      </c>
      <c r="C99">
        <f t="shared" si="9"/>
        <v>12.446000000000019</v>
      </c>
      <c r="D99" s="2">
        <f t="shared" si="8"/>
        <v>-1.3402000000000001</v>
      </c>
    </row>
    <row r="100" spans="2:4" x14ac:dyDescent="0.35">
      <c r="B100">
        <v>98</v>
      </c>
      <c r="C100">
        <f t="shared" si="9"/>
        <v>12.56400000000002</v>
      </c>
      <c r="D100" s="2">
        <f t="shared" si="8"/>
        <v>-1.1220000000000001</v>
      </c>
    </row>
    <row r="101" spans="2:4" x14ac:dyDescent="0.35">
      <c r="B101">
        <v>99</v>
      </c>
      <c r="C101">
        <f t="shared" si="9"/>
        <v>12.68200000000002</v>
      </c>
      <c r="D101" s="2">
        <f t="shared" si="8"/>
        <v>-0.86209999999999998</v>
      </c>
    </row>
    <row r="102" spans="2:4" x14ac:dyDescent="0.35">
      <c r="B102">
        <v>100</v>
      </c>
      <c r="C102">
        <f t="shared" si="9"/>
        <v>12.80000000000002</v>
      </c>
      <c r="D102" s="2">
        <f t="shared" si="8"/>
        <v>-0.56399999999999995</v>
      </c>
    </row>
    <row r="103" spans="2:4" x14ac:dyDescent="0.35">
      <c r="B103">
        <v>101</v>
      </c>
      <c r="C103">
        <f t="shared" si="9"/>
        <v>12.918000000000021</v>
      </c>
      <c r="D103" s="2">
        <f t="shared" si="8"/>
        <v>-0.23180000000000001</v>
      </c>
    </row>
    <row r="104" spans="2:4" x14ac:dyDescent="0.35">
      <c r="B104">
        <v>102</v>
      </c>
      <c r="C104">
        <f t="shared" si="9"/>
        <v>13.036000000000021</v>
      </c>
      <c r="D104" s="2">
        <f t="shared" si="8"/>
        <v>0.13</v>
      </c>
    </row>
    <row r="105" spans="2:4" x14ac:dyDescent="0.35">
      <c r="B105">
        <v>103</v>
      </c>
      <c r="C105">
        <f t="shared" si="9"/>
        <v>13.154000000000021</v>
      </c>
      <c r="D105" s="2">
        <f t="shared" si="8"/>
        <v>0.51639999999999997</v>
      </c>
    </row>
    <row r="106" spans="2:4" x14ac:dyDescent="0.35">
      <c r="B106">
        <v>104</v>
      </c>
      <c r="C106">
        <f t="shared" si="9"/>
        <v>13.272000000000022</v>
      </c>
      <c r="D106" s="2">
        <f t="shared" si="8"/>
        <v>0.92210000000000003</v>
      </c>
    </row>
    <row r="107" spans="2:4" x14ac:dyDescent="0.35">
      <c r="B107">
        <v>105</v>
      </c>
      <c r="C107">
        <f t="shared" si="9"/>
        <v>13.390000000000022</v>
      </c>
      <c r="D107" s="2">
        <f t="shared" si="8"/>
        <v>1.3414999999999999</v>
      </c>
    </row>
    <row r="108" spans="2:4" x14ac:dyDescent="0.35">
      <c r="B108">
        <v>106</v>
      </c>
      <c r="C108">
        <f t="shared" si="9"/>
        <v>13.508000000000022</v>
      </c>
      <c r="D108" s="2">
        <f t="shared" si="8"/>
        <v>1.7686999999999999</v>
      </c>
    </row>
    <row r="109" spans="2:4" x14ac:dyDescent="0.35">
      <c r="B109">
        <v>107</v>
      </c>
      <c r="C109">
        <f t="shared" si="9"/>
        <v>13.626000000000023</v>
      </c>
      <c r="D109" s="2">
        <f t="shared" si="8"/>
        <v>2.198</v>
      </c>
    </row>
    <row r="110" spans="2:4" x14ac:dyDescent="0.35">
      <c r="B110">
        <v>108</v>
      </c>
      <c r="C110">
        <f t="shared" si="9"/>
        <v>13.744000000000023</v>
      </c>
      <c r="D110" s="2">
        <f t="shared" si="8"/>
        <v>2.6234999999999999</v>
      </c>
    </row>
    <row r="111" spans="2:4" x14ac:dyDescent="0.35">
      <c r="B111">
        <v>109</v>
      </c>
      <c r="C111">
        <f t="shared" si="9"/>
        <v>13.862000000000023</v>
      </c>
      <c r="D111" s="2">
        <f t="shared" si="8"/>
        <v>3.0392000000000001</v>
      </c>
    </row>
    <row r="112" spans="2:4" x14ac:dyDescent="0.35">
      <c r="B112">
        <v>110</v>
      </c>
      <c r="C112">
        <f t="shared" si="9"/>
        <v>13.980000000000024</v>
      </c>
      <c r="D112" s="2">
        <f t="shared" si="8"/>
        <v>3.4394</v>
      </c>
    </row>
    <row r="113" spans="2:4" x14ac:dyDescent="0.35">
      <c r="B113">
        <v>111</v>
      </c>
      <c r="C113">
        <f t="shared" si="9"/>
        <v>14.098000000000024</v>
      </c>
      <c r="D113" s="2">
        <f t="shared" si="8"/>
        <v>3.8187000000000002</v>
      </c>
    </row>
    <row r="114" spans="2:4" x14ac:dyDescent="0.35">
      <c r="B114">
        <v>112</v>
      </c>
      <c r="C114">
        <f t="shared" si="9"/>
        <v>14.216000000000024</v>
      </c>
      <c r="D114" s="2">
        <f t="shared" si="8"/>
        <v>4.1718000000000002</v>
      </c>
    </row>
    <row r="115" spans="2:4" x14ac:dyDescent="0.35">
      <c r="B115">
        <v>113</v>
      </c>
      <c r="C115">
        <f t="shared" si="9"/>
        <v>14.334000000000024</v>
      </c>
      <c r="D115" s="2">
        <f t="shared" si="8"/>
        <v>4.4938000000000002</v>
      </c>
    </row>
    <row r="116" spans="2:4" x14ac:dyDescent="0.35">
      <c r="B116">
        <v>114</v>
      </c>
      <c r="C116">
        <f t="shared" si="9"/>
        <v>14.452000000000025</v>
      </c>
      <c r="D116" s="2">
        <f t="shared" si="8"/>
        <v>4.7804000000000002</v>
      </c>
    </row>
    <row r="117" spans="2:4" x14ac:dyDescent="0.35">
      <c r="B117">
        <v>115</v>
      </c>
      <c r="C117">
        <f t="shared" si="9"/>
        <v>14.570000000000025</v>
      </c>
      <c r="D117" s="2">
        <f t="shared" si="8"/>
        <v>5.0275999999999996</v>
      </c>
    </row>
    <row r="118" spans="2:4" x14ac:dyDescent="0.35">
      <c r="B118">
        <v>116</v>
      </c>
      <c r="C118">
        <f t="shared" si="9"/>
        <v>14.688000000000025</v>
      </c>
      <c r="D118" s="2">
        <f t="shared" si="8"/>
        <v>5.2320000000000002</v>
      </c>
    </row>
    <row r="119" spans="2:4" x14ac:dyDescent="0.35">
      <c r="B119">
        <v>117</v>
      </c>
      <c r="C119">
        <f t="shared" si="9"/>
        <v>14.806000000000026</v>
      </c>
      <c r="D119" s="2">
        <f t="shared" si="8"/>
        <v>5.3909000000000002</v>
      </c>
    </row>
    <row r="120" spans="2:4" x14ac:dyDescent="0.35">
      <c r="B120">
        <v>118</v>
      </c>
      <c r="C120">
        <f t="shared" si="9"/>
        <v>14.924000000000026</v>
      </c>
      <c r="D120" s="2">
        <f t="shared" si="8"/>
        <v>5.5019999999999998</v>
      </c>
    </row>
    <row r="121" spans="2:4" x14ac:dyDescent="0.35">
      <c r="B121">
        <v>119</v>
      </c>
      <c r="C121">
        <f t="shared" si="9"/>
        <v>15.042000000000026</v>
      </c>
      <c r="D121" s="2">
        <f t="shared" si="8"/>
        <v>5.5640000000000001</v>
      </c>
    </row>
    <row r="122" spans="2:4" x14ac:dyDescent="0.35">
      <c r="B122">
        <v>120</v>
      </c>
      <c r="C122">
        <f t="shared" si="9"/>
        <v>15.160000000000027</v>
      </c>
      <c r="D122" s="2">
        <f t="shared" si="8"/>
        <v>5.5758999999999999</v>
      </c>
    </row>
    <row r="123" spans="2:4" x14ac:dyDescent="0.35">
      <c r="B123">
        <v>121</v>
      </c>
      <c r="C123">
        <f t="shared" si="9"/>
        <v>15.278000000000027</v>
      </c>
      <c r="D123" s="2">
        <f t="shared" si="8"/>
        <v>5.5377000000000001</v>
      </c>
    </row>
    <row r="124" spans="2:4" x14ac:dyDescent="0.35">
      <c r="B124">
        <v>122</v>
      </c>
      <c r="C124">
        <f t="shared" si="9"/>
        <v>15.396000000000027</v>
      </c>
      <c r="D124" s="2">
        <f t="shared" si="8"/>
        <v>5.4499000000000004</v>
      </c>
    </row>
    <row r="125" spans="2:4" x14ac:dyDescent="0.35">
      <c r="B125">
        <v>123</v>
      </c>
      <c r="C125">
        <f t="shared" si="9"/>
        <v>15.514000000000028</v>
      </c>
      <c r="D125" s="2">
        <f t="shared" si="8"/>
        <v>5.3139000000000003</v>
      </c>
    </row>
    <row r="126" spans="2:4" x14ac:dyDescent="0.35">
      <c r="B126">
        <v>124</v>
      </c>
      <c r="C126">
        <f t="shared" si="9"/>
        <v>15.632000000000028</v>
      </c>
      <c r="D126" s="2">
        <f t="shared" si="8"/>
        <v>5.1315</v>
      </c>
    </row>
    <row r="127" spans="2:4" x14ac:dyDescent="0.35">
      <c r="B127">
        <v>125</v>
      </c>
      <c r="C127">
        <f t="shared" si="9"/>
        <v>15.750000000000028</v>
      </c>
      <c r="D127" s="2">
        <f t="shared" si="8"/>
        <v>4.9054000000000002</v>
      </c>
    </row>
    <row r="128" spans="2:4" x14ac:dyDescent="0.35">
      <c r="B128">
        <v>126</v>
      </c>
      <c r="C128">
        <f t="shared" si="9"/>
        <v>15.868000000000029</v>
      </c>
      <c r="D128" s="2">
        <f t="shared" si="8"/>
        <v>4.6387999999999998</v>
      </c>
    </row>
    <row r="129" spans="2:4" x14ac:dyDescent="0.35">
      <c r="B129">
        <v>127</v>
      </c>
      <c r="C129">
        <f t="shared" si="9"/>
        <v>15.986000000000029</v>
      </c>
      <c r="D129" s="2">
        <f t="shared" si="8"/>
        <v>4.3353999999999999</v>
      </c>
    </row>
    <row r="130" spans="2:4" x14ac:dyDescent="0.35">
      <c r="B130">
        <v>128</v>
      </c>
      <c r="C130">
        <f t="shared" si="9"/>
        <v>16.104000000000028</v>
      </c>
      <c r="D130" s="2">
        <f t="shared" si="8"/>
        <v>3.9994999999999998</v>
      </c>
    </row>
    <row r="131" spans="2:4" x14ac:dyDescent="0.35">
      <c r="B131">
        <v>129</v>
      </c>
      <c r="C131">
        <f t="shared" si="9"/>
        <v>16.222000000000026</v>
      </c>
      <c r="D131" s="2">
        <f t="shared" ref="D131:D194" si="10">ROUND(POWER(C131,1/4)+2*SIN(C131)-3*COS(C131),4)</f>
        <v>3.6358000000000001</v>
      </c>
    </row>
    <row r="132" spans="2:4" x14ac:dyDescent="0.35">
      <c r="B132">
        <v>130</v>
      </c>
      <c r="C132">
        <f t="shared" si="9"/>
        <v>16.340000000000025</v>
      </c>
      <c r="D132" s="2">
        <f t="shared" si="10"/>
        <v>3.2494000000000001</v>
      </c>
    </row>
    <row r="133" spans="2:4" x14ac:dyDescent="0.35">
      <c r="B133">
        <v>131</v>
      </c>
      <c r="C133">
        <f t="shared" ref="C133:C196" si="11">C132+$C$1</f>
        <v>16.458000000000023</v>
      </c>
      <c r="D133" s="2">
        <f t="shared" si="10"/>
        <v>2.8458000000000001</v>
      </c>
    </row>
    <row r="134" spans="2:4" x14ac:dyDescent="0.35">
      <c r="B134">
        <v>132</v>
      </c>
      <c r="C134">
        <f t="shared" si="11"/>
        <v>16.576000000000022</v>
      </c>
      <c r="D134" s="2">
        <f t="shared" si="10"/>
        <v>2.4306000000000001</v>
      </c>
    </row>
    <row r="135" spans="2:4" x14ac:dyDescent="0.35">
      <c r="B135">
        <v>133</v>
      </c>
      <c r="C135">
        <f t="shared" si="11"/>
        <v>16.69400000000002</v>
      </c>
      <c r="D135" s="2">
        <f t="shared" si="10"/>
        <v>2.0097</v>
      </c>
    </row>
    <row r="136" spans="2:4" x14ac:dyDescent="0.35">
      <c r="B136">
        <v>134</v>
      </c>
      <c r="C136">
        <f t="shared" si="11"/>
        <v>16.812000000000019</v>
      </c>
      <c r="D136" s="2">
        <f t="shared" si="10"/>
        <v>1.5888</v>
      </c>
    </row>
    <row r="137" spans="2:4" x14ac:dyDescent="0.35">
      <c r="B137">
        <v>135</v>
      </c>
      <c r="C137">
        <f t="shared" si="11"/>
        <v>16.930000000000017</v>
      </c>
      <c r="D137" s="2">
        <f t="shared" si="10"/>
        <v>1.1740999999999999</v>
      </c>
    </row>
    <row r="138" spans="2:4" x14ac:dyDescent="0.35">
      <c r="B138">
        <v>136</v>
      </c>
      <c r="C138">
        <f t="shared" si="11"/>
        <v>17.048000000000016</v>
      </c>
      <c r="D138" s="2">
        <f t="shared" si="10"/>
        <v>0.77110000000000001</v>
      </c>
    </row>
    <row r="139" spans="2:4" x14ac:dyDescent="0.35">
      <c r="B139">
        <v>137</v>
      </c>
      <c r="C139">
        <f t="shared" si="11"/>
        <v>17.166000000000015</v>
      </c>
      <c r="D139" s="2">
        <f t="shared" si="10"/>
        <v>0.38569999999999999</v>
      </c>
    </row>
    <row r="140" spans="2:4" x14ac:dyDescent="0.35">
      <c r="B140">
        <v>138</v>
      </c>
      <c r="C140">
        <f t="shared" si="11"/>
        <v>17.284000000000013</v>
      </c>
      <c r="D140" s="2">
        <f t="shared" si="10"/>
        <v>2.3300000000000001E-2</v>
      </c>
    </row>
    <row r="141" spans="2:4" x14ac:dyDescent="0.35">
      <c r="B141">
        <v>139</v>
      </c>
      <c r="C141">
        <f t="shared" si="11"/>
        <v>17.402000000000012</v>
      </c>
      <c r="D141" s="2">
        <f t="shared" si="10"/>
        <v>-0.31119999999999998</v>
      </c>
    </row>
    <row r="142" spans="2:4" x14ac:dyDescent="0.35">
      <c r="B142">
        <v>140</v>
      </c>
      <c r="C142">
        <f t="shared" si="11"/>
        <v>17.52000000000001</v>
      </c>
      <c r="D142" s="2">
        <f t="shared" si="10"/>
        <v>-0.6129</v>
      </c>
    </row>
    <row r="143" spans="2:4" x14ac:dyDescent="0.35">
      <c r="B143">
        <v>141</v>
      </c>
      <c r="C143">
        <f t="shared" si="11"/>
        <v>17.638000000000009</v>
      </c>
      <c r="D143" s="2">
        <f t="shared" si="10"/>
        <v>-0.87770000000000004</v>
      </c>
    </row>
    <row r="144" spans="2:4" x14ac:dyDescent="0.35">
      <c r="B144">
        <v>142</v>
      </c>
      <c r="C144">
        <f t="shared" si="11"/>
        <v>17.756000000000007</v>
      </c>
      <c r="D144" s="2">
        <f t="shared" si="10"/>
        <v>-1.1017999999999999</v>
      </c>
    </row>
    <row r="145" spans="2:4" x14ac:dyDescent="0.35">
      <c r="B145">
        <v>143</v>
      </c>
      <c r="C145">
        <f t="shared" si="11"/>
        <v>17.874000000000006</v>
      </c>
      <c r="D145" s="2">
        <f t="shared" si="10"/>
        <v>-1.282</v>
      </c>
    </row>
    <row r="146" spans="2:4" x14ac:dyDescent="0.35">
      <c r="B146">
        <v>144</v>
      </c>
      <c r="C146">
        <f t="shared" si="11"/>
        <v>17.992000000000004</v>
      </c>
      <c r="D146" s="2">
        <f t="shared" si="10"/>
        <v>-1.4157999999999999</v>
      </c>
    </row>
    <row r="147" spans="2:4" x14ac:dyDescent="0.35">
      <c r="B147">
        <v>145</v>
      </c>
      <c r="C147">
        <f t="shared" si="11"/>
        <v>18.110000000000003</v>
      </c>
      <c r="D147" s="2">
        <f t="shared" si="10"/>
        <v>-1.5013000000000001</v>
      </c>
    </row>
    <row r="148" spans="2:4" x14ac:dyDescent="0.35">
      <c r="B148">
        <v>146</v>
      </c>
      <c r="C148">
        <f t="shared" si="11"/>
        <v>18.228000000000002</v>
      </c>
      <c r="D148" s="2">
        <f t="shared" si="10"/>
        <v>-1.5373000000000001</v>
      </c>
    </row>
    <row r="149" spans="2:4" x14ac:dyDescent="0.35">
      <c r="B149">
        <v>147</v>
      </c>
      <c r="C149">
        <f t="shared" si="11"/>
        <v>18.346</v>
      </c>
      <c r="D149" s="2">
        <f t="shared" si="10"/>
        <v>-1.5230999999999999</v>
      </c>
    </row>
    <row r="150" spans="2:4" x14ac:dyDescent="0.35">
      <c r="B150">
        <v>148</v>
      </c>
      <c r="C150">
        <f t="shared" si="11"/>
        <v>18.463999999999999</v>
      </c>
      <c r="D150" s="2">
        <f t="shared" si="10"/>
        <v>-1.4590000000000001</v>
      </c>
    </row>
    <row r="151" spans="2:4" x14ac:dyDescent="0.35">
      <c r="B151">
        <v>149</v>
      </c>
      <c r="C151">
        <f t="shared" si="11"/>
        <v>18.581999999999997</v>
      </c>
      <c r="D151" s="2">
        <f t="shared" si="10"/>
        <v>-1.3458000000000001</v>
      </c>
    </row>
    <row r="152" spans="2:4" x14ac:dyDescent="0.35">
      <c r="B152">
        <v>150</v>
      </c>
      <c r="C152">
        <f t="shared" si="11"/>
        <v>18.699999999999996</v>
      </c>
      <c r="D152" s="2">
        <f t="shared" si="10"/>
        <v>-1.1850000000000001</v>
      </c>
    </row>
    <row r="153" spans="2:4" x14ac:dyDescent="0.35">
      <c r="B153">
        <v>151</v>
      </c>
      <c r="C153">
        <f t="shared" si="11"/>
        <v>18.817999999999994</v>
      </c>
      <c r="D153" s="2">
        <f t="shared" si="10"/>
        <v>-0.9788</v>
      </c>
    </row>
    <row r="154" spans="2:4" x14ac:dyDescent="0.35">
      <c r="B154">
        <v>152</v>
      </c>
      <c r="C154">
        <f t="shared" si="11"/>
        <v>18.935999999999993</v>
      </c>
      <c r="D154" s="2">
        <f t="shared" si="10"/>
        <v>-0.73009999999999997</v>
      </c>
    </row>
    <row r="155" spans="2:4" x14ac:dyDescent="0.35">
      <c r="B155">
        <v>153</v>
      </c>
      <c r="C155">
        <f t="shared" si="11"/>
        <v>19.053999999999991</v>
      </c>
      <c r="D155" s="2">
        <f t="shared" si="10"/>
        <v>-0.44219999999999998</v>
      </c>
    </row>
    <row r="156" spans="2:4" x14ac:dyDescent="0.35">
      <c r="B156">
        <v>154</v>
      </c>
      <c r="C156">
        <f t="shared" si="11"/>
        <v>19.17199999999999</v>
      </c>
      <c r="D156" s="2">
        <f t="shared" si="10"/>
        <v>-0.1191</v>
      </c>
    </row>
    <row r="157" spans="2:4" x14ac:dyDescent="0.35">
      <c r="B157">
        <v>155</v>
      </c>
      <c r="C157">
        <f t="shared" si="11"/>
        <v>19.289999999999988</v>
      </c>
      <c r="D157" s="2">
        <f t="shared" si="10"/>
        <v>0.23469999999999999</v>
      </c>
    </row>
    <row r="158" spans="2:4" x14ac:dyDescent="0.35">
      <c r="B158">
        <v>156</v>
      </c>
      <c r="C158">
        <f t="shared" si="11"/>
        <v>19.407999999999987</v>
      </c>
      <c r="D158" s="2">
        <f t="shared" si="10"/>
        <v>0.61439999999999995</v>
      </c>
    </row>
    <row r="159" spans="2:4" x14ac:dyDescent="0.35">
      <c r="B159">
        <v>157</v>
      </c>
      <c r="C159">
        <f t="shared" si="11"/>
        <v>19.525999999999986</v>
      </c>
      <c r="D159" s="2">
        <f t="shared" si="10"/>
        <v>1.0146999999999999</v>
      </c>
    </row>
    <row r="160" spans="2:4" x14ac:dyDescent="0.35">
      <c r="B160">
        <v>158</v>
      </c>
      <c r="C160">
        <f t="shared" si="11"/>
        <v>19.643999999999984</v>
      </c>
      <c r="D160" s="2">
        <f t="shared" si="10"/>
        <v>1.4301999999999999</v>
      </c>
    </row>
    <row r="161" spans="2:4" x14ac:dyDescent="0.35">
      <c r="B161">
        <v>159</v>
      </c>
      <c r="C161">
        <f t="shared" si="11"/>
        <v>19.761999999999983</v>
      </c>
      <c r="D161" s="2">
        <f t="shared" si="10"/>
        <v>1.855</v>
      </c>
    </row>
    <row r="162" spans="2:4" x14ac:dyDescent="0.35">
      <c r="B162">
        <v>160</v>
      </c>
      <c r="C162">
        <f t="shared" si="11"/>
        <v>19.879999999999981</v>
      </c>
      <c r="D162" s="2">
        <f t="shared" si="10"/>
        <v>2.2833000000000001</v>
      </c>
    </row>
    <row r="163" spans="2:4" x14ac:dyDescent="0.35">
      <c r="B163">
        <v>161</v>
      </c>
      <c r="C163">
        <f t="shared" si="11"/>
        <v>19.99799999999998</v>
      </c>
      <c r="D163" s="2">
        <f t="shared" si="10"/>
        <v>2.7092000000000001</v>
      </c>
    </row>
    <row r="164" spans="2:4" x14ac:dyDescent="0.35">
      <c r="B164">
        <v>162</v>
      </c>
      <c r="C164">
        <f t="shared" si="11"/>
        <v>20.115999999999978</v>
      </c>
      <c r="D164" s="2">
        <f t="shared" si="10"/>
        <v>3.1269</v>
      </c>
    </row>
    <row r="165" spans="2:4" x14ac:dyDescent="0.35">
      <c r="B165">
        <v>163</v>
      </c>
      <c r="C165">
        <f t="shared" si="11"/>
        <v>20.233999999999977</v>
      </c>
      <c r="D165" s="2">
        <f t="shared" si="10"/>
        <v>3.5304000000000002</v>
      </c>
    </row>
    <row r="166" spans="2:4" x14ac:dyDescent="0.35">
      <c r="B166">
        <v>164</v>
      </c>
      <c r="C166">
        <f t="shared" si="11"/>
        <v>20.351999999999975</v>
      </c>
      <c r="D166" s="2">
        <f t="shared" si="10"/>
        <v>3.9144000000000001</v>
      </c>
    </row>
    <row r="167" spans="2:4" x14ac:dyDescent="0.35">
      <c r="B167">
        <v>165</v>
      </c>
      <c r="C167">
        <f t="shared" si="11"/>
        <v>20.469999999999974</v>
      </c>
      <c r="D167" s="2">
        <f t="shared" si="10"/>
        <v>4.2735000000000003</v>
      </c>
    </row>
    <row r="168" spans="2:4" x14ac:dyDescent="0.35">
      <c r="B168">
        <v>166</v>
      </c>
      <c r="C168">
        <f t="shared" si="11"/>
        <v>20.587999999999973</v>
      </c>
      <c r="D168" s="2">
        <f t="shared" si="10"/>
        <v>4.6026999999999996</v>
      </c>
    </row>
    <row r="169" spans="2:4" x14ac:dyDescent="0.35">
      <c r="B169">
        <v>167</v>
      </c>
      <c r="C169">
        <f t="shared" si="11"/>
        <v>20.705999999999971</v>
      </c>
      <c r="D169" s="2">
        <f t="shared" si="10"/>
        <v>4.8975</v>
      </c>
    </row>
    <row r="170" spans="2:4" x14ac:dyDescent="0.35">
      <c r="B170">
        <v>168</v>
      </c>
      <c r="C170">
        <f t="shared" si="11"/>
        <v>20.82399999999997</v>
      </c>
      <c r="D170" s="2">
        <f t="shared" si="10"/>
        <v>5.1538000000000004</v>
      </c>
    </row>
    <row r="171" spans="2:4" x14ac:dyDescent="0.35">
      <c r="B171">
        <v>169</v>
      </c>
      <c r="C171">
        <f t="shared" si="11"/>
        <v>20.941999999999968</v>
      </c>
      <c r="D171" s="2">
        <f t="shared" si="10"/>
        <v>5.3681000000000001</v>
      </c>
    </row>
    <row r="172" spans="2:4" x14ac:dyDescent="0.35">
      <c r="B172">
        <v>170</v>
      </c>
      <c r="C172">
        <f t="shared" si="11"/>
        <v>21.059999999999967</v>
      </c>
      <c r="D172" s="2">
        <f t="shared" si="10"/>
        <v>5.5376000000000003</v>
      </c>
    </row>
    <row r="173" spans="2:4" x14ac:dyDescent="0.35">
      <c r="B173">
        <v>171</v>
      </c>
      <c r="C173">
        <f t="shared" si="11"/>
        <v>21.177999999999965</v>
      </c>
      <c r="D173" s="2">
        <f t="shared" si="10"/>
        <v>5.6597999999999997</v>
      </c>
    </row>
    <row r="174" spans="2:4" x14ac:dyDescent="0.35">
      <c r="B174">
        <v>172</v>
      </c>
      <c r="C174">
        <f t="shared" si="11"/>
        <v>21.295999999999964</v>
      </c>
      <c r="D174" s="2">
        <f t="shared" si="10"/>
        <v>5.7331000000000003</v>
      </c>
    </row>
    <row r="175" spans="2:4" x14ac:dyDescent="0.35">
      <c r="B175">
        <v>173</v>
      </c>
      <c r="C175">
        <f t="shared" si="11"/>
        <v>21.413999999999962</v>
      </c>
      <c r="D175" s="2">
        <f t="shared" si="10"/>
        <v>5.7565</v>
      </c>
    </row>
    <row r="176" spans="2:4" x14ac:dyDescent="0.35">
      <c r="B176">
        <v>174</v>
      </c>
      <c r="C176">
        <f t="shared" si="11"/>
        <v>21.531999999999961</v>
      </c>
      <c r="D176" s="2">
        <f t="shared" si="10"/>
        <v>5.7298</v>
      </c>
    </row>
    <row r="177" spans="2:4" x14ac:dyDescent="0.35">
      <c r="B177">
        <v>175</v>
      </c>
      <c r="C177">
        <f t="shared" si="11"/>
        <v>21.649999999999959</v>
      </c>
      <c r="D177" s="2">
        <f t="shared" si="10"/>
        <v>5.6532999999999998</v>
      </c>
    </row>
    <row r="178" spans="2:4" x14ac:dyDescent="0.35">
      <c r="B178">
        <v>176</v>
      </c>
      <c r="C178">
        <f t="shared" si="11"/>
        <v>21.767999999999958</v>
      </c>
      <c r="D178" s="2">
        <f t="shared" si="10"/>
        <v>5.5282</v>
      </c>
    </row>
    <row r="179" spans="2:4" x14ac:dyDescent="0.35">
      <c r="B179">
        <v>177</v>
      </c>
      <c r="C179">
        <f t="shared" si="11"/>
        <v>21.885999999999957</v>
      </c>
      <c r="D179" s="2">
        <f t="shared" si="10"/>
        <v>5.3563000000000001</v>
      </c>
    </row>
    <row r="180" spans="2:4" x14ac:dyDescent="0.35">
      <c r="B180">
        <v>178</v>
      </c>
      <c r="C180">
        <f t="shared" si="11"/>
        <v>22.003999999999955</v>
      </c>
      <c r="D180" s="2">
        <f t="shared" si="10"/>
        <v>5.1398999999999999</v>
      </c>
    </row>
    <row r="181" spans="2:4" x14ac:dyDescent="0.35">
      <c r="B181">
        <v>179</v>
      </c>
      <c r="C181">
        <f t="shared" si="11"/>
        <v>22.121999999999954</v>
      </c>
      <c r="D181" s="2">
        <f t="shared" si="10"/>
        <v>4.8821000000000003</v>
      </c>
    </row>
    <row r="182" spans="2:4" x14ac:dyDescent="0.35">
      <c r="B182">
        <v>180</v>
      </c>
      <c r="C182">
        <f t="shared" si="11"/>
        <v>22.239999999999952</v>
      </c>
      <c r="D182" s="2">
        <f t="shared" si="10"/>
        <v>4.5865999999999998</v>
      </c>
    </row>
    <row r="183" spans="2:4" x14ac:dyDescent="0.35">
      <c r="B183">
        <v>181</v>
      </c>
      <c r="C183">
        <f t="shared" si="11"/>
        <v>22.357999999999951</v>
      </c>
      <c r="D183" s="2">
        <f t="shared" si="10"/>
        <v>4.2575000000000003</v>
      </c>
    </row>
    <row r="184" spans="2:4" x14ac:dyDescent="0.35">
      <c r="B184">
        <v>182</v>
      </c>
      <c r="C184">
        <f t="shared" si="11"/>
        <v>22.475999999999949</v>
      </c>
      <c r="D184" s="2">
        <f t="shared" si="10"/>
        <v>3.8994</v>
      </c>
    </row>
    <row r="185" spans="2:4" x14ac:dyDescent="0.35">
      <c r="B185">
        <v>183</v>
      </c>
      <c r="C185">
        <f t="shared" si="11"/>
        <v>22.593999999999948</v>
      </c>
      <c r="D185" s="2">
        <f t="shared" si="10"/>
        <v>3.5173999999999999</v>
      </c>
    </row>
    <row r="186" spans="2:4" x14ac:dyDescent="0.35">
      <c r="B186">
        <v>184</v>
      </c>
      <c r="C186">
        <f t="shared" si="11"/>
        <v>22.711999999999946</v>
      </c>
      <c r="D186" s="2">
        <f t="shared" si="10"/>
        <v>3.1166999999999998</v>
      </c>
    </row>
    <row r="187" spans="2:4" x14ac:dyDescent="0.35">
      <c r="B187">
        <v>185</v>
      </c>
      <c r="C187">
        <f t="shared" si="11"/>
        <v>22.829999999999945</v>
      </c>
      <c r="D187" s="2">
        <f t="shared" si="10"/>
        <v>2.7031000000000001</v>
      </c>
    </row>
    <row r="188" spans="2:4" x14ac:dyDescent="0.35">
      <c r="B188">
        <v>186</v>
      </c>
      <c r="C188">
        <f t="shared" si="11"/>
        <v>22.947999999999944</v>
      </c>
      <c r="D188" s="2">
        <f t="shared" si="10"/>
        <v>2.2822</v>
      </c>
    </row>
    <row r="189" spans="2:4" x14ac:dyDescent="0.35">
      <c r="B189">
        <v>187</v>
      </c>
      <c r="C189">
        <f t="shared" si="11"/>
        <v>23.065999999999942</v>
      </c>
      <c r="D189" s="2">
        <f t="shared" si="10"/>
        <v>1.8601000000000001</v>
      </c>
    </row>
    <row r="190" spans="2:4" x14ac:dyDescent="0.35">
      <c r="B190">
        <v>188</v>
      </c>
      <c r="C190">
        <f t="shared" si="11"/>
        <v>23.183999999999941</v>
      </c>
      <c r="D190" s="2">
        <f t="shared" si="10"/>
        <v>1.4424999999999999</v>
      </c>
    </row>
    <row r="191" spans="2:4" x14ac:dyDescent="0.35">
      <c r="B191">
        <v>189</v>
      </c>
      <c r="C191">
        <f t="shared" si="11"/>
        <v>23.301999999999939</v>
      </c>
      <c r="D191" s="2">
        <f t="shared" si="10"/>
        <v>1.0354000000000001</v>
      </c>
    </row>
    <row r="192" spans="2:4" x14ac:dyDescent="0.35">
      <c r="B192">
        <v>190</v>
      </c>
      <c r="C192">
        <f t="shared" si="11"/>
        <v>23.419999999999938</v>
      </c>
      <c r="D192" s="2">
        <f t="shared" si="10"/>
        <v>0.64439999999999997</v>
      </c>
    </row>
    <row r="193" spans="2:4" x14ac:dyDescent="0.35">
      <c r="B193">
        <v>191</v>
      </c>
      <c r="C193">
        <f t="shared" si="11"/>
        <v>23.537999999999936</v>
      </c>
      <c r="D193" s="2">
        <f t="shared" si="10"/>
        <v>0.27500000000000002</v>
      </c>
    </row>
    <row r="194" spans="2:4" x14ac:dyDescent="0.35">
      <c r="B194">
        <v>192</v>
      </c>
      <c r="C194">
        <f t="shared" si="11"/>
        <v>23.655999999999935</v>
      </c>
      <c r="D194" s="2">
        <f t="shared" si="10"/>
        <v>-6.7500000000000004E-2</v>
      </c>
    </row>
    <row r="195" spans="2:4" x14ac:dyDescent="0.35">
      <c r="B195">
        <v>193</v>
      </c>
      <c r="C195">
        <f t="shared" si="11"/>
        <v>23.773999999999933</v>
      </c>
      <c r="D195" s="2">
        <f t="shared" ref="D195:D202" si="12">ROUND(POWER(C195,1/4)+2*SIN(C195)-3*COS(C195),4)</f>
        <v>-0.3785</v>
      </c>
    </row>
    <row r="196" spans="2:4" x14ac:dyDescent="0.35">
      <c r="B196">
        <v>194</v>
      </c>
      <c r="C196">
        <f t="shared" si="11"/>
        <v>23.891999999999932</v>
      </c>
      <c r="D196" s="2">
        <f t="shared" si="12"/>
        <v>-0.65349999999999997</v>
      </c>
    </row>
    <row r="197" spans="2:4" x14ac:dyDescent="0.35">
      <c r="B197">
        <v>195</v>
      </c>
      <c r="C197">
        <f t="shared" ref="C197:C202" si="13">C196+$C$1</f>
        <v>24.009999999999931</v>
      </c>
      <c r="D197" s="2">
        <f t="shared" si="12"/>
        <v>-0.88859999999999995</v>
      </c>
    </row>
    <row r="198" spans="2:4" x14ac:dyDescent="0.35">
      <c r="B198">
        <v>196</v>
      </c>
      <c r="C198">
        <f t="shared" si="13"/>
        <v>24.127999999999929</v>
      </c>
      <c r="D198" s="2">
        <f t="shared" si="12"/>
        <v>-1.0807</v>
      </c>
    </row>
    <row r="199" spans="2:4" x14ac:dyDescent="0.35">
      <c r="B199">
        <v>197</v>
      </c>
      <c r="C199">
        <f t="shared" si="13"/>
        <v>24.245999999999928</v>
      </c>
      <c r="D199" s="2">
        <f t="shared" si="12"/>
        <v>-1.2267999999999999</v>
      </c>
    </row>
    <row r="200" spans="2:4" x14ac:dyDescent="0.35">
      <c r="B200">
        <v>198</v>
      </c>
      <c r="C200">
        <f t="shared" si="13"/>
        <v>24.363999999999926</v>
      </c>
      <c r="D200" s="2">
        <f t="shared" si="12"/>
        <v>-1.3250999999999999</v>
      </c>
    </row>
    <row r="201" spans="2:4" x14ac:dyDescent="0.35">
      <c r="B201">
        <v>199</v>
      </c>
      <c r="C201">
        <f t="shared" si="13"/>
        <v>24.481999999999925</v>
      </c>
      <c r="D201" s="2">
        <f t="shared" si="12"/>
        <v>-1.3741000000000001</v>
      </c>
    </row>
    <row r="202" spans="2:4" x14ac:dyDescent="0.35">
      <c r="B202">
        <v>200</v>
      </c>
      <c r="C202">
        <f t="shared" si="13"/>
        <v>24.599999999999923</v>
      </c>
      <c r="D202" s="2">
        <f t="shared" si="12"/>
        <v>-1.373</v>
      </c>
    </row>
    <row r="203" spans="2:4" x14ac:dyDescent="0.35">
      <c r="D20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DF54-9D4E-453A-8303-9783A0DC7F5F}">
  <dimension ref="B1:S203"/>
  <sheetViews>
    <sheetView topLeftCell="B1" workbookViewId="0">
      <selection activeCell="S21" sqref="S21"/>
    </sheetView>
  </sheetViews>
  <sheetFormatPr defaultRowHeight="14.5" x14ac:dyDescent="0.35"/>
  <cols>
    <col min="4" max="4" width="12" bestFit="1" customWidth="1"/>
    <col min="9" max="9" width="7.453125" customWidth="1"/>
    <col min="10" max="10" width="8.90625" customWidth="1"/>
    <col min="11" max="11" width="7.7265625" customWidth="1"/>
    <col min="12" max="13" width="9.6328125" customWidth="1"/>
    <col min="14" max="14" width="11.453125" customWidth="1"/>
    <col min="15" max="15" width="11.54296875" customWidth="1"/>
    <col min="16" max="16" width="10.7265625" customWidth="1"/>
    <col min="17" max="17" width="9.7265625" customWidth="1"/>
  </cols>
  <sheetData>
    <row r="1" spans="2:17" x14ac:dyDescent="0.35">
      <c r="B1" t="s">
        <v>0</v>
      </c>
      <c r="C1">
        <v>0.11799999999999999</v>
      </c>
      <c r="D1" t="s">
        <v>4</v>
      </c>
      <c r="E1" s="1">
        <v>15.237</v>
      </c>
      <c r="F1" s="1">
        <f>(E1-C2)/C1</f>
        <v>120.65254237288136</v>
      </c>
    </row>
    <row r="2" spans="2:17" x14ac:dyDescent="0.35">
      <c r="B2">
        <v>0</v>
      </c>
      <c r="C2">
        <v>1</v>
      </c>
      <c r="D2" s="2">
        <f>ROUND(POWER(C2,1/4)+2*SIN(C2)-3*COS(C2),4)</f>
        <v>1.0620000000000001</v>
      </c>
      <c r="F2">
        <v>9</v>
      </c>
      <c r="G2">
        <f>ROUND(F1-F2/2,0.5)</f>
        <v>116</v>
      </c>
      <c r="H2">
        <f>VLOOKUP(G2,B2:D202,2)</f>
        <v>14.688000000000025</v>
      </c>
      <c r="I2" s="2">
        <f>VLOOKUP(G2,B2:D202,3)</f>
        <v>5.2320000000000002</v>
      </c>
      <c r="J2" s="11"/>
      <c r="K2" s="11"/>
      <c r="L2" s="11"/>
      <c r="M2" s="11"/>
      <c r="N2" s="11"/>
      <c r="O2" s="11"/>
      <c r="P2" s="11"/>
    </row>
    <row r="3" spans="2:17" x14ac:dyDescent="0.35">
      <c r="B3">
        <v>1</v>
      </c>
      <c r="C3">
        <f>B3+$C$1</f>
        <v>1.1179999999999999</v>
      </c>
      <c r="D3" s="2">
        <f t="shared" ref="D3:D66" si="0">ROUND(POWER(C3,1/4)+2*SIN(C3)-3*COS(C3),4)</f>
        <v>1.5143</v>
      </c>
      <c r="G3">
        <f>G2+1</f>
        <v>117</v>
      </c>
      <c r="H3">
        <f t="shared" ref="H3:H10" si="1">VLOOKUP(G3,B3:D203,2)</f>
        <v>14.806000000000026</v>
      </c>
      <c r="I3" s="2">
        <f t="shared" ref="I3:I10" si="2">VLOOKUP(G3,B3:D203,3)</f>
        <v>5.3909000000000002</v>
      </c>
      <c r="J3" s="2">
        <f>I3-I2</f>
        <v>0.15890000000000004</v>
      </c>
      <c r="K3" s="2"/>
      <c r="L3" s="2"/>
      <c r="M3" s="2"/>
      <c r="N3" s="2"/>
      <c r="O3" s="2"/>
      <c r="P3" s="2"/>
      <c r="Q3" s="2"/>
    </row>
    <row r="4" spans="2:17" x14ac:dyDescent="0.35">
      <c r="B4">
        <v>2</v>
      </c>
      <c r="C4">
        <f>C3+$C$1</f>
        <v>1.2359999999999998</v>
      </c>
      <c r="D4" s="2">
        <f t="shared" si="0"/>
        <v>1.9576</v>
      </c>
      <c r="G4">
        <f t="shared" ref="G4:G9" si="3">G3+1</f>
        <v>118</v>
      </c>
      <c r="H4">
        <f t="shared" si="1"/>
        <v>14.924000000000026</v>
      </c>
      <c r="I4" s="2">
        <f t="shared" si="2"/>
        <v>5.5019999999999998</v>
      </c>
      <c r="J4" s="2">
        <f>I4-I3</f>
        <v>0.11109999999999953</v>
      </c>
      <c r="K4" s="2">
        <f>J4-J3</f>
        <v>-4.7800000000000509E-2</v>
      </c>
      <c r="L4" s="2"/>
      <c r="M4" s="2"/>
      <c r="N4" s="2"/>
      <c r="O4" s="2"/>
      <c r="P4" s="2"/>
      <c r="Q4" s="2"/>
    </row>
    <row r="5" spans="2:17" x14ac:dyDescent="0.35">
      <c r="B5">
        <v>3</v>
      </c>
      <c r="C5">
        <f t="shared" ref="C5:C68" si="4">C4+$C$1</f>
        <v>1.3539999999999996</v>
      </c>
      <c r="D5" s="2">
        <f t="shared" si="0"/>
        <v>2.3866000000000001</v>
      </c>
      <c r="G5">
        <f t="shared" si="3"/>
        <v>119</v>
      </c>
      <c r="H5">
        <f t="shared" si="1"/>
        <v>15.042000000000026</v>
      </c>
      <c r="I5" s="2">
        <f t="shared" si="2"/>
        <v>5.5640000000000001</v>
      </c>
      <c r="J5" s="2">
        <f>I5-I4</f>
        <v>6.2000000000000277E-2</v>
      </c>
      <c r="K5" s="2">
        <f>J5-J4</f>
        <v>-4.9099999999999255E-2</v>
      </c>
      <c r="L5" s="2">
        <f t="shared" ref="J5:O9" si="5">K5-K4</f>
        <v>-1.2999999999987466E-3</v>
      </c>
      <c r="M5" s="2"/>
      <c r="N5" s="2"/>
      <c r="O5" s="2"/>
      <c r="P5" s="2"/>
      <c r="Q5" s="2"/>
    </row>
    <row r="6" spans="2:17" x14ac:dyDescent="0.35">
      <c r="B6">
        <v>4</v>
      </c>
      <c r="C6">
        <f t="shared" si="4"/>
        <v>1.4719999999999995</v>
      </c>
      <c r="D6" s="2">
        <f t="shared" si="0"/>
        <v>2.7957999999999998</v>
      </c>
      <c r="G6">
        <f t="shared" si="3"/>
        <v>120</v>
      </c>
      <c r="H6">
        <f t="shared" si="1"/>
        <v>15.160000000000027</v>
      </c>
      <c r="I6" s="2">
        <f t="shared" si="2"/>
        <v>5.5758999999999999</v>
      </c>
      <c r="J6" s="2">
        <f t="shared" si="5"/>
        <v>1.18999999999998E-2</v>
      </c>
      <c r="K6" s="2">
        <f t="shared" si="5"/>
        <v>-5.0100000000000477E-2</v>
      </c>
      <c r="L6" s="2">
        <f>K6-K5</f>
        <v>-1.0000000000012221E-3</v>
      </c>
      <c r="M6" s="2">
        <f t="shared" si="5"/>
        <v>2.9999999999752447E-4</v>
      </c>
      <c r="N6" s="2"/>
      <c r="O6" s="2"/>
      <c r="P6" s="2"/>
      <c r="Q6" s="2"/>
    </row>
    <row r="7" spans="2:17" x14ac:dyDescent="0.35">
      <c r="B7">
        <v>5</v>
      </c>
      <c r="C7">
        <f t="shared" si="4"/>
        <v>1.5899999999999994</v>
      </c>
      <c r="D7" s="2">
        <f t="shared" si="0"/>
        <v>3.1802000000000001</v>
      </c>
      <c r="G7">
        <f t="shared" si="3"/>
        <v>121</v>
      </c>
      <c r="H7">
        <f t="shared" si="1"/>
        <v>15.278000000000027</v>
      </c>
      <c r="I7" s="2">
        <f t="shared" si="2"/>
        <v>5.5377000000000001</v>
      </c>
      <c r="J7" s="2">
        <f t="shared" si="5"/>
        <v>-3.819999999999979E-2</v>
      </c>
      <c r="K7" s="2">
        <f t="shared" si="5"/>
        <v>-5.0099999999999589E-2</v>
      </c>
      <c r="L7" s="2">
        <f t="shared" si="5"/>
        <v>8.8817841970012523E-16</v>
      </c>
      <c r="M7" s="2">
        <f t="shared" si="5"/>
        <v>1.0000000000021103E-3</v>
      </c>
      <c r="N7" s="2">
        <f t="shared" si="5"/>
        <v>7.0000000000458584E-4</v>
      </c>
      <c r="O7" s="2"/>
      <c r="P7" s="2"/>
      <c r="Q7" s="2"/>
    </row>
    <row r="8" spans="2:17" x14ac:dyDescent="0.35">
      <c r="B8">
        <v>6</v>
      </c>
      <c r="C8">
        <f t="shared" si="4"/>
        <v>1.7079999999999993</v>
      </c>
      <c r="D8" s="2">
        <f t="shared" si="0"/>
        <v>3.5347</v>
      </c>
      <c r="G8">
        <f t="shared" si="3"/>
        <v>122</v>
      </c>
      <c r="H8">
        <f t="shared" si="1"/>
        <v>15.396000000000027</v>
      </c>
      <c r="I8" s="2">
        <f t="shared" si="2"/>
        <v>5.4499000000000004</v>
      </c>
      <c r="J8" s="2">
        <f t="shared" si="5"/>
        <v>-8.7799999999999656E-2</v>
      </c>
      <c r="K8" s="2">
        <f t="shared" si="5"/>
        <v>-4.9599999999999866E-2</v>
      </c>
      <c r="L8" s="2">
        <f t="shared" si="5"/>
        <v>4.9999999999972289E-4</v>
      </c>
      <c r="M8" s="2">
        <f t="shared" si="5"/>
        <v>4.9999999999883471E-4</v>
      </c>
      <c r="N8" s="2">
        <f>M8-M7</f>
        <v>-5.000000000032756E-4</v>
      </c>
      <c r="O8" s="2">
        <f t="shared" si="5"/>
        <v>-1.2000000000078614E-3</v>
      </c>
      <c r="P8" s="2"/>
      <c r="Q8" s="2"/>
    </row>
    <row r="9" spans="2:17" x14ac:dyDescent="0.35">
      <c r="B9">
        <v>7</v>
      </c>
      <c r="C9">
        <f t="shared" si="4"/>
        <v>1.8259999999999992</v>
      </c>
      <c r="D9" s="2">
        <f t="shared" si="0"/>
        <v>3.855</v>
      </c>
      <c r="G9">
        <f t="shared" si="3"/>
        <v>123</v>
      </c>
      <c r="H9">
        <f t="shared" si="1"/>
        <v>15.514000000000028</v>
      </c>
      <c r="I9" s="2">
        <f t="shared" si="2"/>
        <v>5.3139000000000003</v>
      </c>
      <c r="J9" s="2">
        <f t="shared" ref="J9:L10" si="6">I9-I8</f>
        <v>-0.13600000000000012</v>
      </c>
      <c r="K9" s="2">
        <f t="shared" si="6"/>
        <v>-4.8200000000000465E-2</v>
      </c>
      <c r="L9" s="2">
        <f t="shared" si="6"/>
        <v>1.3999999999994017E-3</v>
      </c>
      <c r="M9" s="2">
        <f t="shared" si="5"/>
        <v>8.9999999999967883E-4</v>
      </c>
      <c r="N9" s="2">
        <f>M9-M8</f>
        <v>4.0000000000084412E-4</v>
      </c>
      <c r="O9" s="2">
        <f t="shared" si="5"/>
        <v>9.0000000000411973E-4</v>
      </c>
      <c r="P9" s="2">
        <f>O9-O8</f>
        <v>2.1000000000119812E-3</v>
      </c>
      <c r="Q9" s="2"/>
    </row>
    <row r="10" spans="2:17" x14ac:dyDescent="0.35">
      <c r="B10">
        <v>8</v>
      </c>
      <c r="C10">
        <f t="shared" si="4"/>
        <v>1.9439999999999991</v>
      </c>
      <c r="D10" s="2">
        <f t="shared" si="0"/>
        <v>4.1368999999999998</v>
      </c>
      <c r="G10">
        <f>G9+1</f>
        <v>124</v>
      </c>
      <c r="H10">
        <f t="shared" si="1"/>
        <v>15.632000000000028</v>
      </c>
      <c r="I10" s="2">
        <f t="shared" si="2"/>
        <v>5.1315</v>
      </c>
      <c r="J10" s="2">
        <f t="shared" si="6"/>
        <v>-0.18240000000000034</v>
      </c>
      <c r="K10" s="2">
        <f t="shared" si="6"/>
        <v>-4.6400000000000219E-2</v>
      </c>
      <c r="L10" s="2">
        <f t="shared" si="6"/>
        <v>1.8000000000002458E-3</v>
      </c>
      <c r="M10" s="2">
        <f>L10-L9</f>
        <v>4.0000000000084412E-4</v>
      </c>
      <c r="N10" s="2">
        <f>-M10-M9</f>
        <v>-1.300000000000523E-3</v>
      </c>
      <c r="O10" s="2">
        <f>N10-N9</f>
        <v>-1.7000000000013671E-3</v>
      </c>
      <c r="P10" s="2">
        <f>-O10-O9</f>
        <v>7.9999999999724736E-4</v>
      </c>
      <c r="Q10" s="2">
        <f>P10-P9</f>
        <v>-1.3000000000147338E-3</v>
      </c>
    </row>
    <row r="11" spans="2:17" x14ac:dyDescent="0.35">
      <c r="B11">
        <v>9</v>
      </c>
      <c r="C11">
        <f t="shared" si="4"/>
        <v>2.0619999999999989</v>
      </c>
      <c r="D11" s="2">
        <f t="shared" si="0"/>
        <v>4.3769</v>
      </c>
      <c r="I11" s="2">
        <f>I2</f>
        <v>5.2320000000000002</v>
      </c>
      <c r="J11" s="2">
        <f>J3</f>
        <v>0.15890000000000004</v>
      </c>
      <c r="K11" s="2">
        <f>K4</f>
        <v>-4.7800000000000509E-2</v>
      </c>
      <c r="L11" s="2">
        <f>L5</f>
        <v>-1.2999999999987466E-3</v>
      </c>
      <c r="M11" s="2">
        <f>M6</f>
        <v>2.9999999999752447E-4</v>
      </c>
      <c r="N11" s="2">
        <f>N7</f>
        <v>7.0000000000458584E-4</v>
      </c>
      <c r="O11" s="2">
        <f>O8</f>
        <v>-1.2000000000078614E-3</v>
      </c>
      <c r="P11" s="2">
        <f>P9</f>
        <v>2.1000000000119812E-3</v>
      </c>
      <c r="Q11" s="2">
        <f>Q10</f>
        <v>-1.3000000000147338E-3</v>
      </c>
    </row>
    <row r="12" spans="2:17" x14ac:dyDescent="0.35">
      <c r="B12">
        <v>10</v>
      </c>
      <c r="C12">
        <f t="shared" si="4"/>
        <v>2.1799999999999988</v>
      </c>
      <c r="D12" s="2">
        <f t="shared" si="0"/>
        <v>4.5720000000000001</v>
      </c>
      <c r="H12" s="23" t="s">
        <v>5</v>
      </c>
      <c r="I12" s="24">
        <f>I11</f>
        <v>5.2320000000000002</v>
      </c>
      <c r="J12" s="25">
        <f>J11</f>
        <v>0.15890000000000004</v>
      </c>
      <c r="K12" s="26">
        <f>K11/2</f>
        <v>-2.3900000000000254E-2</v>
      </c>
      <c r="L12" s="26">
        <f>L11/6</f>
        <v>-2.1666666666645776E-4</v>
      </c>
      <c r="M12" s="26">
        <f>M11/24</f>
        <v>1.2499999999896852E-5</v>
      </c>
      <c r="N12" s="26">
        <f>N11/120</f>
        <v>5.8333333333715487E-6</v>
      </c>
      <c r="O12" s="26">
        <f>O11/720</f>
        <v>-1.6666666666775853E-6</v>
      </c>
      <c r="P12" s="26">
        <f>P11/(7*6*5*4*3*2)</f>
        <v>4.1666666666904386E-7</v>
      </c>
      <c r="Q12" s="27">
        <f>Q11/8/7/6/5/4/3/2/1</f>
        <v>-3.2242063492428906E-8</v>
      </c>
    </row>
    <row r="13" spans="2:17" x14ac:dyDescent="0.35">
      <c r="B13">
        <v>11</v>
      </c>
      <c r="C13">
        <f t="shared" si="4"/>
        <v>2.2979999999999987</v>
      </c>
      <c r="D13" s="2">
        <f t="shared" si="0"/>
        <v>4.7195999999999998</v>
      </c>
    </row>
    <row r="14" spans="2:17" x14ac:dyDescent="0.35">
      <c r="B14">
        <v>12</v>
      </c>
      <c r="C14">
        <f t="shared" si="4"/>
        <v>2.4159999999999986</v>
      </c>
      <c r="D14" s="2">
        <f t="shared" si="0"/>
        <v>4.8182</v>
      </c>
      <c r="I14" s="28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30">
        <v>1</v>
      </c>
    </row>
    <row r="15" spans="2:17" x14ac:dyDescent="0.35">
      <c r="B15">
        <v>13</v>
      </c>
      <c r="C15">
        <f t="shared" si="4"/>
        <v>2.5339999999999985</v>
      </c>
      <c r="D15" s="2">
        <f t="shared" si="0"/>
        <v>4.8665000000000003</v>
      </c>
      <c r="H15">
        <v>0</v>
      </c>
      <c r="I15" s="31" cm="1">
        <f t="array" ref="I15:Q15">J14:R14-H15*I14:Q14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 s="32">
        <v>0</v>
      </c>
    </row>
    <row r="16" spans="2:17" x14ac:dyDescent="0.35">
      <c r="B16">
        <v>14</v>
      </c>
      <c r="C16">
        <f t="shared" si="4"/>
        <v>2.6519999999999984</v>
      </c>
      <c r="D16" s="2">
        <f t="shared" si="0"/>
        <v>4.8642000000000003</v>
      </c>
      <c r="H16">
        <v>1</v>
      </c>
      <c r="I16" s="31" cm="1">
        <f t="array" ref="I16:Q16">J15:R15-H16*I15:Q15</f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-1</v>
      </c>
      <c r="Q16" s="32">
        <v>0</v>
      </c>
    </row>
    <row r="17" spans="2:19" x14ac:dyDescent="0.35">
      <c r="B17">
        <v>15</v>
      </c>
      <c r="C17">
        <f t="shared" si="4"/>
        <v>2.7699999999999982</v>
      </c>
      <c r="D17" s="2">
        <f t="shared" si="0"/>
        <v>4.8114999999999997</v>
      </c>
      <c r="H17">
        <v>2</v>
      </c>
      <c r="I17" s="31" cm="1">
        <f t="array" ref="I17:Q17">J16:R16-H17*I16:Q16</f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-3</v>
      </c>
      <c r="P17">
        <v>2</v>
      </c>
      <c r="Q17" s="32">
        <v>0</v>
      </c>
    </row>
    <row r="18" spans="2:19" x14ac:dyDescent="0.35">
      <c r="B18">
        <v>16</v>
      </c>
      <c r="C18">
        <f t="shared" si="4"/>
        <v>2.8879999999999981</v>
      </c>
      <c r="D18" s="2">
        <f t="shared" si="0"/>
        <v>4.7093999999999996</v>
      </c>
      <c r="H18">
        <v>3</v>
      </c>
      <c r="I18" s="31" cm="1">
        <f t="array" ref="I18:Q18">J17:R17-H18*I17:Q17</f>
        <v>0</v>
      </c>
      <c r="J18">
        <v>0</v>
      </c>
      <c r="K18">
        <v>0</v>
      </c>
      <c r="L18">
        <v>0</v>
      </c>
      <c r="M18">
        <v>1</v>
      </c>
      <c r="N18">
        <v>-6</v>
      </c>
      <c r="O18">
        <v>11</v>
      </c>
      <c r="P18">
        <v>-6</v>
      </c>
      <c r="Q18" s="32">
        <v>0</v>
      </c>
    </row>
    <row r="19" spans="2:19" x14ac:dyDescent="0.35">
      <c r="B19">
        <v>17</v>
      </c>
      <c r="C19">
        <f t="shared" si="4"/>
        <v>3.005999999999998</v>
      </c>
      <c r="D19" s="2">
        <f t="shared" si="0"/>
        <v>4.5595999999999997</v>
      </c>
      <c r="H19">
        <v>4</v>
      </c>
      <c r="I19" s="31" cm="1">
        <f t="array" ref="I19:Q19">J18:R18-H19*I18:Q18</f>
        <v>0</v>
      </c>
      <c r="J19">
        <v>0</v>
      </c>
      <c r="K19">
        <v>0</v>
      </c>
      <c r="L19">
        <v>1</v>
      </c>
      <c r="M19">
        <v>-10</v>
      </c>
      <c r="N19">
        <v>35</v>
      </c>
      <c r="O19">
        <v>-50</v>
      </c>
      <c r="P19">
        <v>24</v>
      </c>
      <c r="Q19" s="32">
        <v>0</v>
      </c>
    </row>
    <row r="20" spans="2:19" x14ac:dyDescent="0.35">
      <c r="B20">
        <v>18</v>
      </c>
      <c r="C20">
        <f t="shared" si="4"/>
        <v>3.1239999999999979</v>
      </c>
      <c r="D20" s="2">
        <f t="shared" si="0"/>
        <v>4.3642000000000003</v>
      </c>
      <c r="H20">
        <v>5</v>
      </c>
      <c r="I20" s="31" cm="1">
        <f t="array" ref="I20:Q20">J19:R19-H20*I19:Q19</f>
        <v>0</v>
      </c>
      <c r="J20">
        <v>0</v>
      </c>
      <c r="K20">
        <v>1</v>
      </c>
      <c r="L20">
        <v>-15</v>
      </c>
      <c r="M20">
        <v>85</v>
      </c>
      <c r="N20">
        <v>-225</v>
      </c>
      <c r="O20">
        <v>274</v>
      </c>
      <c r="P20">
        <v>-120</v>
      </c>
      <c r="Q20" s="32">
        <v>0</v>
      </c>
    </row>
    <row r="21" spans="2:19" x14ac:dyDescent="0.35">
      <c r="B21">
        <v>19</v>
      </c>
      <c r="C21">
        <f t="shared" si="4"/>
        <v>3.2419999999999978</v>
      </c>
      <c r="D21" s="2">
        <f t="shared" si="0"/>
        <v>4.1262999999999996</v>
      </c>
      <c r="H21">
        <v>6</v>
      </c>
      <c r="I21" s="31" cm="1">
        <f t="array" ref="I21:Q21">J20:R20-H21*I20:Q20</f>
        <v>0</v>
      </c>
      <c r="J21">
        <v>1</v>
      </c>
      <c r="K21">
        <v>-21</v>
      </c>
      <c r="L21">
        <v>175</v>
      </c>
      <c r="M21">
        <v>-735</v>
      </c>
      <c r="N21">
        <v>1624</v>
      </c>
      <c r="O21">
        <v>-1764</v>
      </c>
      <c r="P21">
        <v>720</v>
      </c>
      <c r="Q21" s="32">
        <v>0</v>
      </c>
    </row>
    <row r="22" spans="2:19" x14ac:dyDescent="0.35">
      <c r="B22">
        <v>20</v>
      </c>
      <c r="C22">
        <f t="shared" si="4"/>
        <v>3.3599999999999977</v>
      </c>
      <c r="D22" s="2">
        <f t="shared" si="0"/>
        <v>3.8492999999999999</v>
      </c>
      <c r="H22">
        <v>7</v>
      </c>
      <c r="I22" s="33" cm="1">
        <f t="array" ref="I22:Q22">J21:R21-H22*I21:Q21</f>
        <v>1</v>
      </c>
      <c r="J22" s="34">
        <v>-28</v>
      </c>
      <c r="K22" s="34">
        <v>322</v>
      </c>
      <c r="L22" s="34">
        <v>-1960</v>
      </c>
      <c r="M22" s="34">
        <v>6769</v>
      </c>
      <c r="N22" s="34">
        <v>-13132</v>
      </c>
      <c r="O22" s="34">
        <v>13068</v>
      </c>
      <c r="P22" s="34">
        <v>-5040</v>
      </c>
      <c r="Q22" s="35">
        <v>0</v>
      </c>
    </row>
    <row r="23" spans="2:19" x14ac:dyDescent="0.35">
      <c r="B23">
        <v>21</v>
      </c>
      <c r="C23">
        <f t="shared" si="4"/>
        <v>3.4779999999999975</v>
      </c>
      <c r="D23" s="2">
        <f t="shared" si="0"/>
        <v>3.5373000000000001</v>
      </c>
      <c r="I23" cm="1">
        <f t="array" ref="I23:Q23">MMULT(I12:Q12,I14:Q22)</f>
        <v>-3.2242063492428906E-8</v>
      </c>
      <c r="J23">
        <v>1.3194444444570534E-6</v>
      </c>
      <c r="K23">
        <v>-2.0798611111289617E-5</v>
      </c>
      <c r="L23">
        <v>1.6694444444577866E-4</v>
      </c>
      <c r="M23">
        <v>-7.1199652778341192E-4</v>
      </c>
      <c r="N23">
        <v>1.3875694444577256E-3</v>
      </c>
      <c r="O23">
        <v>-2.5017172619063506E-2</v>
      </c>
      <c r="P23">
        <v>0.18309416666667377</v>
      </c>
      <c r="Q23">
        <v>5.2320000000000002</v>
      </c>
    </row>
    <row r="24" spans="2:19" x14ac:dyDescent="0.35">
      <c r="B24">
        <v>22</v>
      </c>
      <c r="C24">
        <f t="shared" si="4"/>
        <v>3.5959999999999974</v>
      </c>
      <c r="D24" s="2">
        <f t="shared" si="0"/>
        <v>3.1947999999999999</v>
      </c>
      <c r="H24">
        <f>(E1-H2)/C1</f>
        <v>4.6525423728811415</v>
      </c>
      <c r="I24">
        <f>I23</f>
        <v>-3.2242063492428906E-8</v>
      </c>
      <c r="J24">
        <f>I24*$H$24+J23</f>
        <v>1.1694368778694037E-6</v>
      </c>
      <c r="K24">
        <f t="shared" ref="K24:Q26" si="7">J24*$H$24+K23</f>
        <v>-1.5357756484592388E-5</v>
      </c>
      <c r="L24">
        <f t="shared" si="7"/>
        <v>9.5491831648822451E-5</v>
      </c>
      <c r="M24">
        <f t="shared" si="7"/>
        <v>-2.6771673477323302E-4</v>
      </c>
      <c r="N24">
        <f t="shared" si="7"/>
        <v>1.4200599199587689E-4</v>
      </c>
      <c r="O24">
        <f t="shared" si="7"/>
        <v>-2.4356483724099667E-2</v>
      </c>
      <c r="P24">
        <f t="shared" si="7"/>
        <v>6.9774594085910205E-2</v>
      </c>
      <c r="Q24" s="16">
        <f t="shared" si="7"/>
        <v>5.5566292555352792</v>
      </c>
      <c r="S24" t="s">
        <v>6</v>
      </c>
    </row>
    <row r="25" spans="2:19" x14ac:dyDescent="0.35">
      <c r="B25">
        <v>23</v>
      </c>
      <c r="C25">
        <f t="shared" si="4"/>
        <v>3.7139999999999973</v>
      </c>
      <c r="D25" s="2">
        <f t="shared" si="0"/>
        <v>2.8267000000000002</v>
      </c>
      <c r="I25">
        <f>I24</f>
        <v>-3.2242063492428906E-8</v>
      </c>
      <c r="J25">
        <f>I25*$H$24+J24</f>
        <v>1.0194293112817541E-6</v>
      </c>
      <c r="K25">
        <f t="shared" si="7"/>
        <v>-1.0614818417696988E-5</v>
      </c>
      <c r="L25">
        <f t="shared" si="7"/>
        <v>4.6105939180048063E-5</v>
      </c>
      <c r="M25">
        <f t="shared" si="7"/>
        <v>-5.3206899096578606E-5</v>
      </c>
      <c r="N25">
        <f t="shared" si="7"/>
        <v>-1.0554136058056639E-4</v>
      </c>
      <c r="O25">
        <f t="shared" si="7"/>
        <v>-2.4847519376292281E-2</v>
      </c>
      <c r="P25" s="16">
        <f t="shared" si="7"/>
        <v>-4.5829542673274826E-2</v>
      </c>
      <c r="Q25" s="16"/>
      <c r="R25">
        <f>(P25/1)/C1^1</f>
        <v>-0.38838595485826127</v>
      </c>
      <c r="S25" t="s">
        <v>7</v>
      </c>
    </row>
    <row r="26" spans="2:19" x14ac:dyDescent="0.35">
      <c r="B26">
        <v>24</v>
      </c>
      <c r="C26">
        <f t="shared" si="4"/>
        <v>3.8319999999999972</v>
      </c>
      <c r="D26" s="2">
        <f t="shared" si="0"/>
        <v>2.4384000000000001</v>
      </c>
      <c r="I26">
        <f>I25</f>
        <v>-3.2242063492428906E-8</v>
      </c>
      <c r="J26">
        <f>I26*$H$24+J25</f>
        <v>8.6942174469410452E-7</v>
      </c>
      <c r="K26">
        <f t="shared" si="7"/>
        <v>-6.5697969106034163E-6</v>
      </c>
      <c r="L26">
        <f t="shared" si="7"/>
        <v>1.5539680672242049E-5</v>
      </c>
      <c r="M26">
        <f t="shared" si="7"/>
        <v>1.9092123692069621E-5</v>
      </c>
      <c r="N26">
        <f t="shared" si="7"/>
        <v>-1.6714446114924546E-5</v>
      </c>
      <c r="O26" s="16">
        <f t="shared" si="7"/>
        <v>-2.4925284045081205E-2</v>
      </c>
      <c r="P26" s="16"/>
      <c r="Q26" s="16"/>
      <c r="R26">
        <f>O26*2*1/C1^2</f>
        <v>-3.5801901817123252</v>
      </c>
      <c r="S26" t="s">
        <v>8</v>
      </c>
    </row>
    <row r="27" spans="2:19" x14ac:dyDescent="0.35">
      <c r="B27">
        <v>25</v>
      </c>
      <c r="C27">
        <f t="shared" si="4"/>
        <v>3.9499999999999971</v>
      </c>
      <c r="D27" s="2">
        <f t="shared" si="0"/>
        <v>2.0354000000000001</v>
      </c>
      <c r="I27">
        <f>I26</f>
        <v>-3.2242063492428906E-8</v>
      </c>
      <c r="J27">
        <f>J26+I27*$H$24</f>
        <v>7.1941417810645491E-7</v>
      </c>
      <c r="K27">
        <f t="shared" ref="K27:L27" si="8">K26+J27*$H$24</f>
        <v>-3.2226919633116745E-6</v>
      </c>
      <c r="L27">
        <f t="shared" si="8"/>
        <v>5.4596975819096626E-7</v>
      </c>
      <c r="M27">
        <f>M26+L27*$H$24</f>
        <v>2.1632271126364763E-5</v>
      </c>
      <c r="N27" s="16">
        <f>N26+M27*$H$24</f>
        <v>8.3930611922140771E-5</v>
      </c>
      <c r="P27" s="36"/>
      <c r="R27">
        <f>N27*3*2*1/C1^3</f>
        <v>0.30649656947207649</v>
      </c>
      <c r="S27" t="s">
        <v>9</v>
      </c>
    </row>
    <row r="28" spans="2:19" x14ac:dyDescent="0.35">
      <c r="B28">
        <v>26</v>
      </c>
      <c r="C28">
        <f t="shared" si="4"/>
        <v>4.067999999999997</v>
      </c>
      <c r="D28" s="2">
        <f t="shared" si="0"/>
        <v>1.6234</v>
      </c>
    </row>
    <row r="29" spans="2:19" x14ac:dyDescent="0.35">
      <c r="B29">
        <v>27</v>
      </c>
      <c r="C29">
        <f t="shared" si="4"/>
        <v>4.1859999999999973</v>
      </c>
      <c r="D29" s="2">
        <f t="shared" si="0"/>
        <v>1.2083999999999999</v>
      </c>
    </row>
    <row r="30" spans="2:19" x14ac:dyDescent="0.35">
      <c r="B30">
        <v>28</v>
      </c>
      <c r="C30">
        <f t="shared" si="4"/>
        <v>4.3039999999999976</v>
      </c>
      <c r="D30" s="2">
        <f t="shared" si="0"/>
        <v>0.79620000000000002</v>
      </c>
    </row>
    <row r="31" spans="2:19" x14ac:dyDescent="0.35">
      <c r="B31">
        <v>29</v>
      </c>
      <c r="C31">
        <f t="shared" si="4"/>
        <v>4.4219999999999979</v>
      </c>
      <c r="D31" s="2">
        <f t="shared" si="0"/>
        <v>0.39279999999999998</v>
      </c>
    </row>
    <row r="32" spans="2:19" x14ac:dyDescent="0.35">
      <c r="B32">
        <v>30</v>
      </c>
      <c r="C32">
        <f t="shared" si="4"/>
        <v>4.5399999999999983</v>
      </c>
      <c r="D32" s="2">
        <f t="shared" si="0"/>
        <v>4.0000000000000001E-3</v>
      </c>
      <c r="H32" s="2"/>
    </row>
    <row r="33" spans="2:4" x14ac:dyDescent="0.35">
      <c r="B33">
        <v>31</v>
      </c>
      <c r="C33">
        <f t="shared" si="4"/>
        <v>4.6579999999999986</v>
      </c>
      <c r="D33" s="2">
        <f t="shared" si="0"/>
        <v>-0.3649</v>
      </c>
    </row>
    <row r="34" spans="2:4" x14ac:dyDescent="0.35">
      <c r="B34">
        <v>32</v>
      </c>
      <c r="C34">
        <f t="shared" si="4"/>
        <v>4.7759999999999989</v>
      </c>
      <c r="D34" s="2">
        <f t="shared" si="0"/>
        <v>-0.70830000000000004</v>
      </c>
    </row>
    <row r="35" spans="2:4" x14ac:dyDescent="0.35">
      <c r="B35">
        <v>33</v>
      </c>
      <c r="C35">
        <f t="shared" si="4"/>
        <v>4.8939999999999992</v>
      </c>
      <c r="D35" s="2">
        <f t="shared" si="0"/>
        <v>-1.0216000000000001</v>
      </c>
    </row>
    <row r="36" spans="2:4" x14ac:dyDescent="0.35">
      <c r="B36">
        <v>34</v>
      </c>
      <c r="C36">
        <f t="shared" si="4"/>
        <v>5.0119999999999996</v>
      </c>
      <c r="D36" s="2">
        <f t="shared" si="0"/>
        <v>-1.3001</v>
      </c>
    </row>
    <row r="37" spans="2:4" x14ac:dyDescent="0.35">
      <c r="B37">
        <v>35</v>
      </c>
      <c r="C37">
        <f t="shared" si="4"/>
        <v>5.13</v>
      </c>
      <c r="D37" s="2">
        <f t="shared" si="0"/>
        <v>-1.5399</v>
      </c>
    </row>
    <row r="38" spans="2:4" x14ac:dyDescent="0.35">
      <c r="B38">
        <v>36</v>
      </c>
      <c r="C38">
        <f t="shared" si="4"/>
        <v>5.2480000000000002</v>
      </c>
      <c r="D38" s="2">
        <f t="shared" si="0"/>
        <v>-1.7375</v>
      </c>
    </row>
    <row r="39" spans="2:4" x14ac:dyDescent="0.35">
      <c r="B39">
        <v>37</v>
      </c>
      <c r="C39">
        <f t="shared" si="4"/>
        <v>5.3660000000000005</v>
      </c>
      <c r="D39" s="2">
        <f t="shared" si="0"/>
        <v>-1.89</v>
      </c>
    </row>
    <row r="40" spans="2:4" x14ac:dyDescent="0.35">
      <c r="B40">
        <v>38</v>
      </c>
      <c r="C40">
        <f t="shared" si="4"/>
        <v>5.4840000000000009</v>
      </c>
      <c r="D40" s="2">
        <f t="shared" si="0"/>
        <v>-1.9952000000000001</v>
      </c>
    </row>
    <row r="41" spans="2:4" x14ac:dyDescent="0.35">
      <c r="B41">
        <v>39</v>
      </c>
      <c r="C41">
        <f t="shared" si="4"/>
        <v>5.6020000000000012</v>
      </c>
      <c r="D41" s="2">
        <f t="shared" si="0"/>
        <v>-2.0514999999999999</v>
      </c>
    </row>
    <row r="42" spans="2:4" x14ac:dyDescent="0.35">
      <c r="B42">
        <v>40</v>
      </c>
      <c r="C42">
        <f t="shared" si="4"/>
        <v>5.7200000000000015</v>
      </c>
      <c r="D42" s="2">
        <f t="shared" si="0"/>
        <v>-2.0579000000000001</v>
      </c>
    </row>
    <row r="43" spans="2:4" x14ac:dyDescent="0.35">
      <c r="B43">
        <v>41</v>
      </c>
      <c r="C43">
        <f t="shared" si="4"/>
        <v>5.8380000000000019</v>
      </c>
      <c r="D43" s="2">
        <f t="shared" si="0"/>
        <v>-2.0144000000000002</v>
      </c>
    </row>
    <row r="44" spans="2:4" x14ac:dyDescent="0.35">
      <c r="B44">
        <v>42</v>
      </c>
      <c r="C44">
        <f t="shared" si="4"/>
        <v>5.9560000000000022</v>
      </c>
      <c r="D44" s="2">
        <f t="shared" si="0"/>
        <v>-1.9214</v>
      </c>
    </row>
    <row r="45" spans="2:4" x14ac:dyDescent="0.35">
      <c r="B45">
        <v>43</v>
      </c>
      <c r="C45">
        <f t="shared" si="4"/>
        <v>6.0740000000000025</v>
      </c>
      <c r="D45" s="2">
        <f t="shared" si="0"/>
        <v>-1.78</v>
      </c>
    </row>
    <row r="46" spans="2:4" x14ac:dyDescent="0.35">
      <c r="B46">
        <v>44</v>
      </c>
      <c r="C46">
        <f t="shared" si="4"/>
        <v>6.1920000000000028</v>
      </c>
      <c r="D46" s="2">
        <f t="shared" si="0"/>
        <v>-1.5922000000000001</v>
      </c>
    </row>
    <row r="47" spans="2:4" x14ac:dyDescent="0.35">
      <c r="B47">
        <v>45</v>
      </c>
      <c r="C47">
        <f t="shared" si="4"/>
        <v>6.3100000000000032</v>
      </c>
      <c r="D47" s="2">
        <f t="shared" si="0"/>
        <v>-1.3604000000000001</v>
      </c>
    </row>
    <row r="48" spans="2:4" x14ac:dyDescent="0.35">
      <c r="B48">
        <v>46</v>
      </c>
      <c r="C48">
        <f t="shared" si="4"/>
        <v>6.4280000000000035</v>
      </c>
      <c r="D48" s="2">
        <f t="shared" si="0"/>
        <v>-1.0876999999999999</v>
      </c>
    </row>
    <row r="49" spans="2:4" x14ac:dyDescent="0.35">
      <c r="B49">
        <v>47</v>
      </c>
      <c r="C49">
        <f t="shared" si="4"/>
        <v>6.5460000000000038</v>
      </c>
      <c r="D49" s="2">
        <f t="shared" si="0"/>
        <v>-0.77790000000000004</v>
      </c>
    </row>
    <row r="50" spans="2:4" x14ac:dyDescent="0.35">
      <c r="B50">
        <v>48</v>
      </c>
      <c r="C50">
        <f t="shared" si="4"/>
        <v>6.6640000000000041</v>
      </c>
      <c r="D50" s="2">
        <f t="shared" si="0"/>
        <v>-0.435</v>
      </c>
    </row>
    <row r="51" spans="2:4" x14ac:dyDescent="0.35">
      <c r="B51">
        <v>49</v>
      </c>
      <c r="C51">
        <f t="shared" si="4"/>
        <v>6.7820000000000045</v>
      </c>
      <c r="D51" s="2">
        <f t="shared" si="0"/>
        <v>-6.3899999999999998E-2</v>
      </c>
    </row>
    <row r="52" spans="2:4" x14ac:dyDescent="0.35">
      <c r="B52">
        <v>50</v>
      </c>
      <c r="C52">
        <f t="shared" si="4"/>
        <v>6.9000000000000048</v>
      </c>
      <c r="D52" s="2">
        <f t="shared" si="0"/>
        <v>0.33040000000000003</v>
      </c>
    </row>
    <row r="53" spans="2:4" x14ac:dyDescent="0.35">
      <c r="B53">
        <v>51</v>
      </c>
      <c r="C53">
        <f t="shared" si="4"/>
        <v>7.0180000000000051</v>
      </c>
      <c r="D53" s="2">
        <f t="shared" si="0"/>
        <v>0.74270000000000003</v>
      </c>
    </row>
    <row r="54" spans="2:4" x14ac:dyDescent="0.35">
      <c r="B54">
        <v>52</v>
      </c>
      <c r="C54">
        <f t="shared" si="4"/>
        <v>7.1360000000000054</v>
      </c>
      <c r="D54" s="2">
        <f t="shared" si="0"/>
        <v>1.1671</v>
      </c>
    </row>
    <row r="55" spans="2:4" x14ac:dyDescent="0.35">
      <c r="B55">
        <v>53</v>
      </c>
      <c r="C55">
        <f t="shared" si="4"/>
        <v>7.2540000000000058</v>
      </c>
      <c r="D55" s="2">
        <f t="shared" si="0"/>
        <v>1.5979000000000001</v>
      </c>
    </row>
    <row r="56" spans="2:4" x14ac:dyDescent="0.35">
      <c r="B56">
        <v>54</v>
      </c>
      <c r="C56">
        <f t="shared" si="4"/>
        <v>7.3720000000000061</v>
      </c>
      <c r="D56" s="2">
        <f t="shared" si="0"/>
        <v>2.0293000000000001</v>
      </c>
    </row>
    <row r="57" spans="2:4" x14ac:dyDescent="0.35">
      <c r="B57">
        <v>55</v>
      </c>
      <c r="C57">
        <f t="shared" si="4"/>
        <v>7.4900000000000064</v>
      </c>
      <c r="D57" s="2">
        <f t="shared" si="0"/>
        <v>2.4552999999999998</v>
      </c>
    </row>
    <row r="58" spans="2:4" x14ac:dyDescent="0.35">
      <c r="B58">
        <v>56</v>
      </c>
      <c r="C58">
        <f t="shared" si="4"/>
        <v>7.6080000000000068</v>
      </c>
      <c r="D58" s="2">
        <f t="shared" si="0"/>
        <v>2.8700999999999999</v>
      </c>
    </row>
    <row r="59" spans="2:4" x14ac:dyDescent="0.35">
      <c r="B59">
        <v>57</v>
      </c>
      <c r="C59">
        <f t="shared" si="4"/>
        <v>7.7260000000000071</v>
      </c>
      <c r="D59" s="2">
        <f t="shared" si="0"/>
        <v>3.2679</v>
      </c>
    </row>
    <row r="60" spans="2:4" x14ac:dyDescent="0.35">
      <c r="B60">
        <v>58</v>
      </c>
      <c r="C60">
        <f t="shared" si="4"/>
        <v>7.8440000000000074</v>
      </c>
      <c r="D60" s="2">
        <f t="shared" si="0"/>
        <v>3.6435</v>
      </c>
    </row>
    <row r="61" spans="2:4" x14ac:dyDescent="0.35">
      <c r="B61">
        <v>59</v>
      </c>
      <c r="C61">
        <f t="shared" si="4"/>
        <v>7.9620000000000077</v>
      </c>
      <c r="D61" s="2">
        <f t="shared" si="0"/>
        <v>3.9916</v>
      </c>
    </row>
    <row r="62" spans="2:4" x14ac:dyDescent="0.35">
      <c r="B62">
        <v>60</v>
      </c>
      <c r="C62">
        <f t="shared" si="4"/>
        <v>8.0800000000000072</v>
      </c>
      <c r="D62" s="2">
        <f t="shared" si="0"/>
        <v>4.3074000000000003</v>
      </c>
    </row>
    <row r="63" spans="2:4" x14ac:dyDescent="0.35">
      <c r="B63">
        <v>61</v>
      </c>
      <c r="C63">
        <f t="shared" si="4"/>
        <v>8.1980000000000075</v>
      </c>
      <c r="D63" s="2">
        <f t="shared" si="0"/>
        <v>4.5867000000000004</v>
      </c>
    </row>
    <row r="64" spans="2:4" x14ac:dyDescent="0.35">
      <c r="B64">
        <v>62</v>
      </c>
      <c r="C64">
        <f t="shared" si="4"/>
        <v>8.3160000000000078</v>
      </c>
      <c r="D64" s="2">
        <f t="shared" si="0"/>
        <v>4.8257000000000003</v>
      </c>
    </row>
    <row r="65" spans="2:4" x14ac:dyDescent="0.35">
      <c r="B65">
        <v>63</v>
      </c>
      <c r="C65">
        <f t="shared" si="4"/>
        <v>8.4340000000000082</v>
      </c>
      <c r="D65" s="2">
        <f t="shared" si="0"/>
        <v>5.0212000000000003</v>
      </c>
    </row>
    <row r="66" spans="2:4" x14ac:dyDescent="0.35">
      <c r="B66">
        <v>64</v>
      </c>
      <c r="C66">
        <f t="shared" si="4"/>
        <v>8.5520000000000085</v>
      </c>
      <c r="D66" s="2">
        <f t="shared" si="0"/>
        <v>5.1703999999999999</v>
      </c>
    </row>
    <row r="67" spans="2:4" x14ac:dyDescent="0.35">
      <c r="B67">
        <v>65</v>
      </c>
      <c r="C67">
        <f t="shared" si="4"/>
        <v>8.6700000000000088</v>
      </c>
      <c r="D67" s="2">
        <f t="shared" ref="D67:D130" si="9">ROUND(POWER(C67,1/4)+2*SIN(C67)-3*COS(C67),4)</f>
        <v>5.2714999999999996</v>
      </c>
    </row>
    <row r="68" spans="2:4" x14ac:dyDescent="0.35">
      <c r="B68">
        <v>66</v>
      </c>
      <c r="C68">
        <f t="shared" si="4"/>
        <v>8.7880000000000091</v>
      </c>
      <c r="D68" s="2">
        <f t="shared" si="9"/>
        <v>5.3230000000000004</v>
      </c>
    </row>
    <row r="69" spans="2:4" x14ac:dyDescent="0.35">
      <c r="B69">
        <v>67</v>
      </c>
      <c r="C69">
        <f t="shared" ref="C69:C132" si="10">C68+$C$1</f>
        <v>8.9060000000000095</v>
      </c>
      <c r="D69" s="2">
        <f t="shared" si="9"/>
        <v>5.3243999999999998</v>
      </c>
    </row>
    <row r="70" spans="2:4" x14ac:dyDescent="0.35">
      <c r="B70">
        <v>68</v>
      </c>
      <c r="C70">
        <f t="shared" si="10"/>
        <v>9.0240000000000098</v>
      </c>
      <c r="D70" s="2">
        <f t="shared" si="9"/>
        <v>5.2756999999999996</v>
      </c>
    </row>
    <row r="71" spans="2:4" x14ac:dyDescent="0.35">
      <c r="B71">
        <v>69</v>
      </c>
      <c r="C71">
        <f t="shared" si="10"/>
        <v>9.1420000000000101</v>
      </c>
      <c r="D71" s="2">
        <f t="shared" si="9"/>
        <v>5.1776999999999997</v>
      </c>
    </row>
    <row r="72" spans="2:4" x14ac:dyDescent="0.35">
      <c r="B72">
        <v>70</v>
      </c>
      <c r="C72">
        <f t="shared" si="10"/>
        <v>9.2600000000000104</v>
      </c>
      <c r="D72" s="2">
        <f t="shared" si="9"/>
        <v>5.0319000000000003</v>
      </c>
    </row>
    <row r="73" spans="2:4" x14ac:dyDescent="0.35">
      <c r="B73">
        <v>71</v>
      </c>
      <c r="C73">
        <f t="shared" si="10"/>
        <v>9.3780000000000108</v>
      </c>
      <c r="D73" s="2">
        <f t="shared" si="9"/>
        <v>4.8402000000000003</v>
      </c>
    </row>
    <row r="74" spans="2:4" x14ac:dyDescent="0.35">
      <c r="B74">
        <v>72</v>
      </c>
      <c r="C74">
        <f t="shared" si="10"/>
        <v>9.4960000000000111</v>
      </c>
      <c r="D74" s="2">
        <f t="shared" si="9"/>
        <v>4.6055000000000001</v>
      </c>
    </row>
    <row r="75" spans="2:4" x14ac:dyDescent="0.35">
      <c r="B75">
        <v>73</v>
      </c>
      <c r="C75">
        <f t="shared" si="10"/>
        <v>9.6140000000000114</v>
      </c>
      <c r="D75" s="2">
        <f t="shared" si="9"/>
        <v>4.3311000000000002</v>
      </c>
    </row>
    <row r="76" spans="2:4" x14ac:dyDescent="0.35">
      <c r="B76">
        <v>74</v>
      </c>
      <c r="C76">
        <f t="shared" si="10"/>
        <v>9.7320000000000118</v>
      </c>
      <c r="D76" s="2">
        <f t="shared" si="9"/>
        <v>4.0209999999999999</v>
      </c>
    </row>
    <row r="77" spans="2:4" x14ac:dyDescent="0.35">
      <c r="B77">
        <v>75</v>
      </c>
      <c r="C77">
        <f t="shared" si="10"/>
        <v>9.8500000000000121</v>
      </c>
      <c r="D77" s="2">
        <f t="shared" si="9"/>
        <v>3.6793999999999998</v>
      </c>
    </row>
    <row r="78" spans="2:4" x14ac:dyDescent="0.35">
      <c r="B78">
        <v>76</v>
      </c>
      <c r="C78">
        <f t="shared" si="10"/>
        <v>9.9680000000000124</v>
      </c>
      <c r="D78" s="2">
        <f t="shared" si="9"/>
        <v>3.3111999999999999</v>
      </c>
    </row>
    <row r="79" spans="2:4" x14ac:dyDescent="0.35">
      <c r="B79">
        <v>77</v>
      </c>
      <c r="C79">
        <f t="shared" si="10"/>
        <v>10.086000000000013</v>
      </c>
      <c r="D79" s="2">
        <f t="shared" si="9"/>
        <v>2.9217</v>
      </c>
    </row>
    <row r="80" spans="2:4" x14ac:dyDescent="0.35">
      <c r="B80">
        <v>78</v>
      </c>
      <c r="C80">
        <f t="shared" si="10"/>
        <v>10.204000000000013</v>
      </c>
      <c r="D80" s="2">
        <f t="shared" si="9"/>
        <v>2.5162</v>
      </c>
    </row>
    <row r="81" spans="2:4" x14ac:dyDescent="0.35">
      <c r="B81">
        <v>79</v>
      </c>
      <c r="C81">
        <f t="shared" si="10"/>
        <v>10.322000000000013</v>
      </c>
      <c r="D81" s="2">
        <f t="shared" si="9"/>
        <v>2.1006</v>
      </c>
    </row>
    <row r="82" spans="2:4" x14ac:dyDescent="0.35">
      <c r="B82">
        <v>80</v>
      </c>
      <c r="C82">
        <f t="shared" si="10"/>
        <v>10.440000000000014</v>
      </c>
      <c r="D82" s="2">
        <f t="shared" si="9"/>
        <v>1.6806000000000001</v>
      </c>
    </row>
    <row r="83" spans="2:4" x14ac:dyDescent="0.35">
      <c r="B83">
        <v>81</v>
      </c>
      <c r="C83">
        <f t="shared" si="10"/>
        <v>10.558000000000014</v>
      </c>
      <c r="D83" s="2">
        <f t="shared" si="9"/>
        <v>1.2622</v>
      </c>
    </row>
    <row r="84" spans="2:4" x14ac:dyDescent="0.35">
      <c r="B84">
        <v>82</v>
      </c>
      <c r="C84">
        <f t="shared" si="10"/>
        <v>10.676000000000014</v>
      </c>
      <c r="D84" s="2">
        <f t="shared" si="9"/>
        <v>0.85129999999999995</v>
      </c>
    </row>
    <row r="85" spans="2:4" x14ac:dyDescent="0.35">
      <c r="B85">
        <v>83</v>
      </c>
      <c r="C85">
        <f t="shared" si="10"/>
        <v>10.794000000000015</v>
      </c>
      <c r="D85" s="2">
        <f t="shared" si="9"/>
        <v>0.45369999999999999</v>
      </c>
    </row>
    <row r="86" spans="2:4" x14ac:dyDescent="0.35">
      <c r="B86">
        <v>84</v>
      </c>
      <c r="C86">
        <f t="shared" si="10"/>
        <v>10.912000000000015</v>
      </c>
      <c r="D86" s="2">
        <f t="shared" si="9"/>
        <v>7.4899999999999994E-2</v>
      </c>
    </row>
    <row r="87" spans="2:4" x14ac:dyDescent="0.35">
      <c r="B87">
        <v>85</v>
      </c>
      <c r="C87">
        <f t="shared" si="10"/>
        <v>11.030000000000015</v>
      </c>
      <c r="D87" s="2">
        <f t="shared" si="9"/>
        <v>-0.2797</v>
      </c>
    </row>
    <row r="88" spans="2:4" x14ac:dyDescent="0.35">
      <c r="B88">
        <v>86</v>
      </c>
      <c r="C88">
        <f t="shared" si="10"/>
        <v>11.148000000000016</v>
      </c>
      <c r="D88" s="2">
        <f t="shared" si="9"/>
        <v>-0.60509999999999997</v>
      </c>
    </row>
    <row r="89" spans="2:4" x14ac:dyDescent="0.35">
      <c r="B89">
        <v>87</v>
      </c>
      <c r="C89">
        <f t="shared" si="10"/>
        <v>11.266000000000016</v>
      </c>
      <c r="D89" s="2">
        <f t="shared" si="9"/>
        <v>-0.89670000000000005</v>
      </c>
    </row>
    <row r="90" spans="2:4" x14ac:dyDescent="0.35">
      <c r="B90">
        <v>88</v>
      </c>
      <c r="C90">
        <f t="shared" si="10"/>
        <v>11.384000000000016</v>
      </c>
      <c r="D90" s="2">
        <f t="shared" si="9"/>
        <v>-1.1504000000000001</v>
      </c>
    </row>
    <row r="91" spans="2:4" x14ac:dyDescent="0.35">
      <c r="B91">
        <v>89</v>
      </c>
      <c r="C91">
        <f t="shared" si="10"/>
        <v>11.502000000000017</v>
      </c>
      <c r="D91" s="2">
        <f t="shared" si="9"/>
        <v>-1.3625</v>
      </c>
    </row>
    <row r="92" spans="2:4" x14ac:dyDescent="0.35">
      <c r="B92">
        <v>90</v>
      </c>
      <c r="C92">
        <f t="shared" si="10"/>
        <v>11.620000000000017</v>
      </c>
      <c r="D92" s="2">
        <f t="shared" si="9"/>
        <v>-1.5302</v>
      </c>
    </row>
    <row r="93" spans="2:4" x14ac:dyDescent="0.35">
      <c r="B93">
        <v>91</v>
      </c>
      <c r="C93">
        <f t="shared" si="10"/>
        <v>11.738000000000017</v>
      </c>
      <c r="D93" s="2">
        <f t="shared" si="9"/>
        <v>-1.6509</v>
      </c>
    </row>
    <row r="94" spans="2:4" x14ac:dyDescent="0.35">
      <c r="B94">
        <v>92</v>
      </c>
      <c r="C94">
        <f t="shared" si="10"/>
        <v>11.856000000000018</v>
      </c>
      <c r="D94" s="2">
        <f t="shared" si="9"/>
        <v>-1.7230000000000001</v>
      </c>
    </row>
    <row r="95" spans="2:4" x14ac:dyDescent="0.35">
      <c r="B95">
        <v>93</v>
      </c>
      <c r="C95">
        <f t="shared" si="10"/>
        <v>11.974000000000018</v>
      </c>
      <c r="D95" s="2">
        <f t="shared" si="9"/>
        <v>-1.7453000000000001</v>
      </c>
    </row>
    <row r="96" spans="2:4" x14ac:dyDescent="0.35">
      <c r="B96">
        <v>94</v>
      </c>
      <c r="C96">
        <f t="shared" si="10"/>
        <v>12.092000000000018</v>
      </c>
      <c r="D96" s="2">
        <f t="shared" si="9"/>
        <v>-1.7175</v>
      </c>
    </row>
    <row r="97" spans="2:4" x14ac:dyDescent="0.35">
      <c r="B97">
        <v>95</v>
      </c>
      <c r="C97">
        <f t="shared" si="10"/>
        <v>12.210000000000019</v>
      </c>
      <c r="D97" s="2">
        <f t="shared" si="9"/>
        <v>-1.64</v>
      </c>
    </row>
    <row r="98" spans="2:4" x14ac:dyDescent="0.35">
      <c r="B98">
        <v>96</v>
      </c>
      <c r="C98">
        <f t="shared" si="10"/>
        <v>12.328000000000019</v>
      </c>
      <c r="D98" s="2">
        <f t="shared" si="9"/>
        <v>-1.5136000000000001</v>
      </c>
    </row>
    <row r="99" spans="2:4" x14ac:dyDescent="0.35">
      <c r="B99">
        <v>97</v>
      </c>
      <c r="C99">
        <f t="shared" si="10"/>
        <v>12.446000000000019</v>
      </c>
      <c r="D99" s="2">
        <f t="shared" si="9"/>
        <v>-1.3402000000000001</v>
      </c>
    </row>
    <row r="100" spans="2:4" x14ac:dyDescent="0.35">
      <c r="B100">
        <v>98</v>
      </c>
      <c r="C100">
        <f t="shared" si="10"/>
        <v>12.56400000000002</v>
      </c>
      <c r="D100" s="2">
        <f t="shared" si="9"/>
        <v>-1.1220000000000001</v>
      </c>
    </row>
    <row r="101" spans="2:4" x14ac:dyDescent="0.35">
      <c r="B101">
        <v>99</v>
      </c>
      <c r="C101">
        <f t="shared" si="10"/>
        <v>12.68200000000002</v>
      </c>
      <c r="D101" s="2">
        <f t="shared" si="9"/>
        <v>-0.86209999999999998</v>
      </c>
    </row>
    <row r="102" spans="2:4" x14ac:dyDescent="0.35">
      <c r="B102">
        <v>100</v>
      </c>
      <c r="C102">
        <f t="shared" si="10"/>
        <v>12.80000000000002</v>
      </c>
      <c r="D102" s="2">
        <f t="shared" si="9"/>
        <v>-0.56399999999999995</v>
      </c>
    </row>
    <row r="103" spans="2:4" x14ac:dyDescent="0.35">
      <c r="B103">
        <v>101</v>
      </c>
      <c r="C103">
        <f t="shared" si="10"/>
        <v>12.918000000000021</v>
      </c>
      <c r="D103" s="2">
        <f t="shared" si="9"/>
        <v>-0.23180000000000001</v>
      </c>
    </row>
    <row r="104" spans="2:4" x14ac:dyDescent="0.35">
      <c r="B104">
        <v>102</v>
      </c>
      <c r="C104">
        <f t="shared" si="10"/>
        <v>13.036000000000021</v>
      </c>
      <c r="D104" s="2">
        <f t="shared" si="9"/>
        <v>0.13</v>
      </c>
    </row>
    <row r="105" spans="2:4" x14ac:dyDescent="0.35">
      <c r="B105">
        <v>103</v>
      </c>
      <c r="C105">
        <f t="shared" si="10"/>
        <v>13.154000000000021</v>
      </c>
      <c r="D105" s="2">
        <f t="shared" si="9"/>
        <v>0.51639999999999997</v>
      </c>
    </row>
    <row r="106" spans="2:4" x14ac:dyDescent="0.35">
      <c r="B106">
        <v>104</v>
      </c>
      <c r="C106">
        <f t="shared" si="10"/>
        <v>13.272000000000022</v>
      </c>
      <c r="D106" s="2">
        <f t="shared" si="9"/>
        <v>0.92210000000000003</v>
      </c>
    </row>
    <row r="107" spans="2:4" x14ac:dyDescent="0.35">
      <c r="B107">
        <v>105</v>
      </c>
      <c r="C107">
        <f t="shared" si="10"/>
        <v>13.390000000000022</v>
      </c>
      <c r="D107" s="2">
        <f t="shared" si="9"/>
        <v>1.3414999999999999</v>
      </c>
    </row>
    <row r="108" spans="2:4" x14ac:dyDescent="0.35">
      <c r="B108">
        <v>106</v>
      </c>
      <c r="C108">
        <f t="shared" si="10"/>
        <v>13.508000000000022</v>
      </c>
      <c r="D108" s="2">
        <f t="shared" si="9"/>
        <v>1.7686999999999999</v>
      </c>
    </row>
    <row r="109" spans="2:4" x14ac:dyDescent="0.35">
      <c r="B109">
        <v>107</v>
      </c>
      <c r="C109">
        <f t="shared" si="10"/>
        <v>13.626000000000023</v>
      </c>
      <c r="D109" s="2">
        <f t="shared" si="9"/>
        <v>2.198</v>
      </c>
    </row>
    <row r="110" spans="2:4" x14ac:dyDescent="0.35">
      <c r="B110">
        <v>108</v>
      </c>
      <c r="C110">
        <f t="shared" si="10"/>
        <v>13.744000000000023</v>
      </c>
      <c r="D110" s="2">
        <f t="shared" si="9"/>
        <v>2.6234999999999999</v>
      </c>
    </row>
    <row r="111" spans="2:4" x14ac:dyDescent="0.35">
      <c r="B111">
        <v>109</v>
      </c>
      <c r="C111">
        <f t="shared" si="10"/>
        <v>13.862000000000023</v>
      </c>
      <c r="D111" s="2">
        <f t="shared" si="9"/>
        <v>3.0392000000000001</v>
      </c>
    </row>
    <row r="112" spans="2:4" x14ac:dyDescent="0.35">
      <c r="B112">
        <v>110</v>
      </c>
      <c r="C112">
        <f t="shared" si="10"/>
        <v>13.980000000000024</v>
      </c>
      <c r="D112" s="2">
        <f t="shared" si="9"/>
        <v>3.4394</v>
      </c>
    </row>
    <row r="113" spans="2:4" x14ac:dyDescent="0.35">
      <c r="B113">
        <v>111</v>
      </c>
      <c r="C113">
        <f t="shared" si="10"/>
        <v>14.098000000000024</v>
      </c>
      <c r="D113" s="2">
        <f t="shared" si="9"/>
        <v>3.8187000000000002</v>
      </c>
    </row>
    <row r="114" spans="2:4" x14ac:dyDescent="0.35">
      <c r="B114">
        <v>112</v>
      </c>
      <c r="C114">
        <f t="shared" si="10"/>
        <v>14.216000000000024</v>
      </c>
      <c r="D114" s="2">
        <f t="shared" si="9"/>
        <v>4.1718000000000002</v>
      </c>
    </row>
    <row r="115" spans="2:4" x14ac:dyDescent="0.35">
      <c r="B115">
        <v>113</v>
      </c>
      <c r="C115">
        <f t="shared" si="10"/>
        <v>14.334000000000024</v>
      </c>
      <c r="D115" s="2">
        <f t="shared" si="9"/>
        <v>4.4938000000000002</v>
      </c>
    </row>
    <row r="116" spans="2:4" x14ac:dyDescent="0.35">
      <c r="B116">
        <v>114</v>
      </c>
      <c r="C116">
        <f t="shared" si="10"/>
        <v>14.452000000000025</v>
      </c>
      <c r="D116" s="2">
        <f t="shared" si="9"/>
        <v>4.7804000000000002</v>
      </c>
    </row>
    <row r="117" spans="2:4" x14ac:dyDescent="0.35">
      <c r="B117">
        <v>115</v>
      </c>
      <c r="C117">
        <f t="shared" si="10"/>
        <v>14.570000000000025</v>
      </c>
      <c r="D117" s="2">
        <f t="shared" si="9"/>
        <v>5.0275999999999996</v>
      </c>
    </row>
    <row r="118" spans="2:4" x14ac:dyDescent="0.35">
      <c r="B118">
        <v>116</v>
      </c>
      <c r="C118">
        <f t="shared" si="10"/>
        <v>14.688000000000025</v>
      </c>
      <c r="D118" s="2">
        <f t="shared" si="9"/>
        <v>5.2320000000000002</v>
      </c>
    </row>
    <row r="119" spans="2:4" x14ac:dyDescent="0.35">
      <c r="B119">
        <v>117</v>
      </c>
      <c r="C119">
        <f t="shared" si="10"/>
        <v>14.806000000000026</v>
      </c>
      <c r="D119" s="2">
        <f t="shared" si="9"/>
        <v>5.3909000000000002</v>
      </c>
    </row>
    <row r="120" spans="2:4" x14ac:dyDescent="0.35">
      <c r="B120">
        <v>118</v>
      </c>
      <c r="C120">
        <f t="shared" si="10"/>
        <v>14.924000000000026</v>
      </c>
      <c r="D120" s="2">
        <f t="shared" si="9"/>
        <v>5.5019999999999998</v>
      </c>
    </row>
    <row r="121" spans="2:4" x14ac:dyDescent="0.35">
      <c r="B121">
        <v>119</v>
      </c>
      <c r="C121">
        <f t="shared" si="10"/>
        <v>15.042000000000026</v>
      </c>
      <c r="D121" s="2">
        <f t="shared" si="9"/>
        <v>5.5640000000000001</v>
      </c>
    </row>
    <row r="122" spans="2:4" x14ac:dyDescent="0.35">
      <c r="B122">
        <v>120</v>
      </c>
      <c r="C122">
        <f t="shared" si="10"/>
        <v>15.160000000000027</v>
      </c>
      <c r="D122" s="2">
        <f t="shared" si="9"/>
        <v>5.5758999999999999</v>
      </c>
    </row>
    <row r="123" spans="2:4" x14ac:dyDescent="0.35">
      <c r="B123">
        <v>121</v>
      </c>
      <c r="C123">
        <f t="shared" si="10"/>
        <v>15.278000000000027</v>
      </c>
      <c r="D123" s="2">
        <f t="shared" si="9"/>
        <v>5.5377000000000001</v>
      </c>
    </row>
    <row r="124" spans="2:4" x14ac:dyDescent="0.35">
      <c r="B124">
        <v>122</v>
      </c>
      <c r="C124">
        <f t="shared" si="10"/>
        <v>15.396000000000027</v>
      </c>
      <c r="D124" s="2">
        <f t="shared" si="9"/>
        <v>5.4499000000000004</v>
      </c>
    </row>
    <row r="125" spans="2:4" x14ac:dyDescent="0.35">
      <c r="B125">
        <v>123</v>
      </c>
      <c r="C125">
        <f t="shared" si="10"/>
        <v>15.514000000000028</v>
      </c>
      <c r="D125" s="2">
        <f t="shared" si="9"/>
        <v>5.3139000000000003</v>
      </c>
    </row>
    <row r="126" spans="2:4" x14ac:dyDescent="0.35">
      <c r="B126">
        <v>124</v>
      </c>
      <c r="C126">
        <f t="shared" si="10"/>
        <v>15.632000000000028</v>
      </c>
      <c r="D126" s="2">
        <f t="shared" si="9"/>
        <v>5.1315</v>
      </c>
    </row>
    <row r="127" spans="2:4" x14ac:dyDescent="0.35">
      <c r="B127">
        <v>125</v>
      </c>
      <c r="C127">
        <f t="shared" si="10"/>
        <v>15.750000000000028</v>
      </c>
      <c r="D127" s="2">
        <f t="shared" si="9"/>
        <v>4.9054000000000002</v>
      </c>
    </row>
    <row r="128" spans="2:4" x14ac:dyDescent="0.35">
      <c r="B128">
        <v>126</v>
      </c>
      <c r="C128">
        <f t="shared" si="10"/>
        <v>15.868000000000029</v>
      </c>
      <c r="D128" s="2">
        <f t="shared" si="9"/>
        <v>4.6387999999999998</v>
      </c>
    </row>
    <row r="129" spans="2:4" x14ac:dyDescent="0.35">
      <c r="B129">
        <v>127</v>
      </c>
      <c r="C129">
        <f t="shared" si="10"/>
        <v>15.986000000000029</v>
      </c>
      <c r="D129" s="2">
        <f t="shared" si="9"/>
        <v>4.3353999999999999</v>
      </c>
    </row>
    <row r="130" spans="2:4" x14ac:dyDescent="0.35">
      <c r="B130">
        <v>128</v>
      </c>
      <c r="C130">
        <f t="shared" si="10"/>
        <v>16.104000000000028</v>
      </c>
      <c r="D130" s="2">
        <f t="shared" si="9"/>
        <v>3.9994999999999998</v>
      </c>
    </row>
    <row r="131" spans="2:4" x14ac:dyDescent="0.35">
      <c r="B131">
        <v>129</v>
      </c>
      <c r="C131">
        <f t="shared" si="10"/>
        <v>16.222000000000026</v>
      </c>
      <c r="D131" s="2">
        <f t="shared" ref="D131:D194" si="11">ROUND(POWER(C131,1/4)+2*SIN(C131)-3*COS(C131),4)</f>
        <v>3.6358000000000001</v>
      </c>
    </row>
    <row r="132" spans="2:4" x14ac:dyDescent="0.35">
      <c r="B132">
        <v>130</v>
      </c>
      <c r="C132">
        <f t="shared" si="10"/>
        <v>16.340000000000025</v>
      </c>
      <c r="D132" s="2">
        <f t="shared" si="11"/>
        <v>3.2494000000000001</v>
      </c>
    </row>
    <row r="133" spans="2:4" x14ac:dyDescent="0.35">
      <c r="B133">
        <v>131</v>
      </c>
      <c r="C133">
        <f t="shared" ref="C133:C196" si="12">C132+$C$1</f>
        <v>16.458000000000023</v>
      </c>
      <c r="D133" s="2">
        <f t="shared" si="11"/>
        <v>2.8458000000000001</v>
      </c>
    </row>
    <row r="134" spans="2:4" x14ac:dyDescent="0.35">
      <c r="B134">
        <v>132</v>
      </c>
      <c r="C134">
        <f t="shared" si="12"/>
        <v>16.576000000000022</v>
      </c>
      <c r="D134" s="2">
        <f t="shared" si="11"/>
        <v>2.4306000000000001</v>
      </c>
    </row>
    <row r="135" spans="2:4" x14ac:dyDescent="0.35">
      <c r="B135">
        <v>133</v>
      </c>
      <c r="C135">
        <f t="shared" si="12"/>
        <v>16.69400000000002</v>
      </c>
      <c r="D135" s="2">
        <f t="shared" si="11"/>
        <v>2.0097</v>
      </c>
    </row>
    <row r="136" spans="2:4" x14ac:dyDescent="0.35">
      <c r="B136">
        <v>134</v>
      </c>
      <c r="C136">
        <f t="shared" si="12"/>
        <v>16.812000000000019</v>
      </c>
      <c r="D136" s="2">
        <f t="shared" si="11"/>
        <v>1.5888</v>
      </c>
    </row>
    <row r="137" spans="2:4" x14ac:dyDescent="0.35">
      <c r="B137">
        <v>135</v>
      </c>
      <c r="C137">
        <f t="shared" si="12"/>
        <v>16.930000000000017</v>
      </c>
      <c r="D137" s="2">
        <f t="shared" si="11"/>
        <v>1.1740999999999999</v>
      </c>
    </row>
    <row r="138" spans="2:4" x14ac:dyDescent="0.35">
      <c r="B138">
        <v>136</v>
      </c>
      <c r="C138">
        <f t="shared" si="12"/>
        <v>17.048000000000016</v>
      </c>
      <c r="D138" s="2">
        <f t="shared" si="11"/>
        <v>0.77110000000000001</v>
      </c>
    </row>
    <row r="139" spans="2:4" x14ac:dyDescent="0.35">
      <c r="B139">
        <v>137</v>
      </c>
      <c r="C139">
        <f t="shared" si="12"/>
        <v>17.166000000000015</v>
      </c>
      <c r="D139" s="2">
        <f t="shared" si="11"/>
        <v>0.38569999999999999</v>
      </c>
    </row>
    <row r="140" spans="2:4" x14ac:dyDescent="0.35">
      <c r="B140">
        <v>138</v>
      </c>
      <c r="C140">
        <f t="shared" si="12"/>
        <v>17.284000000000013</v>
      </c>
      <c r="D140" s="2">
        <f t="shared" si="11"/>
        <v>2.3300000000000001E-2</v>
      </c>
    </row>
    <row r="141" spans="2:4" x14ac:dyDescent="0.35">
      <c r="B141">
        <v>139</v>
      </c>
      <c r="C141">
        <f t="shared" si="12"/>
        <v>17.402000000000012</v>
      </c>
      <c r="D141" s="2">
        <f t="shared" si="11"/>
        <v>-0.31119999999999998</v>
      </c>
    </row>
    <row r="142" spans="2:4" x14ac:dyDescent="0.35">
      <c r="B142">
        <v>140</v>
      </c>
      <c r="C142">
        <f t="shared" si="12"/>
        <v>17.52000000000001</v>
      </c>
      <c r="D142" s="2">
        <f t="shared" si="11"/>
        <v>-0.6129</v>
      </c>
    </row>
    <row r="143" spans="2:4" x14ac:dyDescent="0.35">
      <c r="B143">
        <v>141</v>
      </c>
      <c r="C143">
        <f t="shared" si="12"/>
        <v>17.638000000000009</v>
      </c>
      <c r="D143" s="2">
        <f t="shared" si="11"/>
        <v>-0.87770000000000004</v>
      </c>
    </row>
    <row r="144" spans="2:4" x14ac:dyDescent="0.35">
      <c r="B144">
        <v>142</v>
      </c>
      <c r="C144">
        <f t="shared" si="12"/>
        <v>17.756000000000007</v>
      </c>
      <c r="D144" s="2">
        <f t="shared" si="11"/>
        <v>-1.1017999999999999</v>
      </c>
    </row>
    <row r="145" spans="2:4" x14ac:dyDescent="0.35">
      <c r="B145">
        <v>143</v>
      </c>
      <c r="C145">
        <f t="shared" si="12"/>
        <v>17.874000000000006</v>
      </c>
      <c r="D145" s="2">
        <f t="shared" si="11"/>
        <v>-1.282</v>
      </c>
    </row>
    <row r="146" spans="2:4" x14ac:dyDescent="0.35">
      <c r="B146">
        <v>144</v>
      </c>
      <c r="C146">
        <f t="shared" si="12"/>
        <v>17.992000000000004</v>
      </c>
      <c r="D146" s="2">
        <f t="shared" si="11"/>
        <v>-1.4157999999999999</v>
      </c>
    </row>
    <row r="147" spans="2:4" x14ac:dyDescent="0.35">
      <c r="B147">
        <v>145</v>
      </c>
      <c r="C147">
        <f t="shared" si="12"/>
        <v>18.110000000000003</v>
      </c>
      <c r="D147" s="2">
        <f t="shared" si="11"/>
        <v>-1.5013000000000001</v>
      </c>
    </row>
    <row r="148" spans="2:4" x14ac:dyDescent="0.35">
      <c r="B148">
        <v>146</v>
      </c>
      <c r="C148">
        <f t="shared" si="12"/>
        <v>18.228000000000002</v>
      </c>
      <c r="D148" s="2">
        <f t="shared" si="11"/>
        <v>-1.5373000000000001</v>
      </c>
    </row>
    <row r="149" spans="2:4" x14ac:dyDescent="0.35">
      <c r="B149">
        <v>147</v>
      </c>
      <c r="C149">
        <f t="shared" si="12"/>
        <v>18.346</v>
      </c>
      <c r="D149" s="2">
        <f t="shared" si="11"/>
        <v>-1.5230999999999999</v>
      </c>
    </row>
    <row r="150" spans="2:4" x14ac:dyDescent="0.35">
      <c r="B150">
        <v>148</v>
      </c>
      <c r="C150">
        <f t="shared" si="12"/>
        <v>18.463999999999999</v>
      </c>
      <c r="D150" s="2">
        <f t="shared" si="11"/>
        <v>-1.4590000000000001</v>
      </c>
    </row>
    <row r="151" spans="2:4" x14ac:dyDescent="0.35">
      <c r="B151">
        <v>149</v>
      </c>
      <c r="C151">
        <f t="shared" si="12"/>
        <v>18.581999999999997</v>
      </c>
      <c r="D151" s="2">
        <f t="shared" si="11"/>
        <v>-1.3458000000000001</v>
      </c>
    </row>
    <row r="152" spans="2:4" x14ac:dyDescent="0.35">
      <c r="B152">
        <v>150</v>
      </c>
      <c r="C152">
        <f t="shared" si="12"/>
        <v>18.699999999999996</v>
      </c>
      <c r="D152" s="2">
        <f t="shared" si="11"/>
        <v>-1.1850000000000001</v>
      </c>
    </row>
    <row r="153" spans="2:4" x14ac:dyDescent="0.35">
      <c r="B153">
        <v>151</v>
      </c>
      <c r="C153">
        <f t="shared" si="12"/>
        <v>18.817999999999994</v>
      </c>
      <c r="D153" s="2">
        <f t="shared" si="11"/>
        <v>-0.9788</v>
      </c>
    </row>
    <row r="154" spans="2:4" x14ac:dyDescent="0.35">
      <c r="B154">
        <v>152</v>
      </c>
      <c r="C154">
        <f t="shared" si="12"/>
        <v>18.935999999999993</v>
      </c>
      <c r="D154" s="2">
        <f t="shared" si="11"/>
        <v>-0.73009999999999997</v>
      </c>
    </row>
    <row r="155" spans="2:4" x14ac:dyDescent="0.35">
      <c r="B155">
        <v>153</v>
      </c>
      <c r="C155">
        <f t="shared" si="12"/>
        <v>19.053999999999991</v>
      </c>
      <c r="D155" s="2">
        <f t="shared" si="11"/>
        <v>-0.44219999999999998</v>
      </c>
    </row>
    <row r="156" spans="2:4" x14ac:dyDescent="0.35">
      <c r="B156">
        <v>154</v>
      </c>
      <c r="C156">
        <f t="shared" si="12"/>
        <v>19.17199999999999</v>
      </c>
      <c r="D156" s="2">
        <f t="shared" si="11"/>
        <v>-0.1191</v>
      </c>
    </row>
    <row r="157" spans="2:4" x14ac:dyDescent="0.35">
      <c r="B157">
        <v>155</v>
      </c>
      <c r="C157">
        <f t="shared" si="12"/>
        <v>19.289999999999988</v>
      </c>
      <c r="D157" s="2">
        <f t="shared" si="11"/>
        <v>0.23469999999999999</v>
      </c>
    </row>
    <row r="158" spans="2:4" x14ac:dyDescent="0.35">
      <c r="B158">
        <v>156</v>
      </c>
      <c r="C158">
        <f t="shared" si="12"/>
        <v>19.407999999999987</v>
      </c>
      <c r="D158" s="2">
        <f t="shared" si="11"/>
        <v>0.61439999999999995</v>
      </c>
    </row>
    <row r="159" spans="2:4" x14ac:dyDescent="0.35">
      <c r="B159">
        <v>157</v>
      </c>
      <c r="C159">
        <f t="shared" si="12"/>
        <v>19.525999999999986</v>
      </c>
      <c r="D159" s="2">
        <f t="shared" si="11"/>
        <v>1.0146999999999999</v>
      </c>
    </row>
    <row r="160" spans="2:4" x14ac:dyDescent="0.35">
      <c r="B160">
        <v>158</v>
      </c>
      <c r="C160">
        <f t="shared" si="12"/>
        <v>19.643999999999984</v>
      </c>
      <c r="D160" s="2">
        <f t="shared" si="11"/>
        <v>1.4301999999999999</v>
      </c>
    </row>
    <row r="161" spans="2:4" x14ac:dyDescent="0.35">
      <c r="B161">
        <v>159</v>
      </c>
      <c r="C161">
        <f t="shared" si="12"/>
        <v>19.761999999999983</v>
      </c>
      <c r="D161" s="2">
        <f t="shared" si="11"/>
        <v>1.855</v>
      </c>
    </row>
    <row r="162" spans="2:4" x14ac:dyDescent="0.35">
      <c r="B162">
        <v>160</v>
      </c>
      <c r="C162">
        <f t="shared" si="12"/>
        <v>19.879999999999981</v>
      </c>
      <c r="D162" s="2">
        <f t="shared" si="11"/>
        <v>2.2833000000000001</v>
      </c>
    </row>
    <row r="163" spans="2:4" x14ac:dyDescent="0.35">
      <c r="B163">
        <v>161</v>
      </c>
      <c r="C163">
        <f t="shared" si="12"/>
        <v>19.99799999999998</v>
      </c>
      <c r="D163" s="2">
        <f t="shared" si="11"/>
        <v>2.7092000000000001</v>
      </c>
    </row>
    <row r="164" spans="2:4" x14ac:dyDescent="0.35">
      <c r="B164">
        <v>162</v>
      </c>
      <c r="C164">
        <f t="shared" si="12"/>
        <v>20.115999999999978</v>
      </c>
      <c r="D164" s="2">
        <f t="shared" si="11"/>
        <v>3.1269</v>
      </c>
    </row>
    <row r="165" spans="2:4" x14ac:dyDescent="0.35">
      <c r="B165">
        <v>163</v>
      </c>
      <c r="C165">
        <f t="shared" si="12"/>
        <v>20.233999999999977</v>
      </c>
      <c r="D165" s="2">
        <f t="shared" si="11"/>
        <v>3.5304000000000002</v>
      </c>
    </row>
    <row r="166" spans="2:4" x14ac:dyDescent="0.35">
      <c r="B166">
        <v>164</v>
      </c>
      <c r="C166">
        <f t="shared" si="12"/>
        <v>20.351999999999975</v>
      </c>
      <c r="D166" s="2">
        <f t="shared" si="11"/>
        <v>3.9144000000000001</v>
      </c>
    </row>
    <row r="167" spans="2:4" x14ac:dyDescent="0.35">
      <c r="B167">
        <v>165</v>
      </c>
      <c r="C167">
        <f t="shared" si="12"/>
        <v>20.469999999999974</v>
      </c>
      <c r="D167" s="2">
        <f t="shared" si="11"/>
        <v>4.2735000000000003</v>
      </c>
    </row>
    <row r="168" spans="2:4" x14ac:dyDescent="0.35">
      <c r="B168">
        <v>166</v>
      </c>
      <c r="C168">
        <f t="shared" si="12"/>
        <v>20.587999999999973</v>
      </c>
      <c r="D168" s="2">
        <f t="shared" si="11"/>
        <v>4.6026999999999996</v>
      </c>
    </row>
    <row r="169" spans="2:4" x14ac:dyDescent="0.35">
      <c r="B169">
        <v>167</v>
      </c>
      <c r="C169">
        <f t="shared" si="12"/>
        <v>20.705999999999971</v>
      </c>
      <c r="D169" s="2">
        <f t="shared" si="11"/>
        <v>4.8975</v>
      </c>
    </row>
    <row r="170" spans="2:4" x14ac:dyDescent="0.35">
      <c r="B170">
        <v>168</v>
      </c>
      <c r="C170">
        <f t="shared" si="12"/>
        <v>20.82399999999997</v>
      </c>
      <c r="D170" s="2">
        <f t="shared" si="11"/>
        <v>5.1538000000000004</v>
      </c>
    </row>
    <row r="171" spans="2:4" x14ac:dyDescent="0.35">
      <c r="B171">
        <v>169</v>
      </c>
      <c r="C171">
        <f t="shared" si="12"/>
        <v>20.941999999999968</v>
      </c>
      <c r="D171" s="2">
        <f t="shared" si="11"/>
        <v>5.3681000000000001</v>
      </c>
    </row>
    <row r="172" spans="2:4" x14ac:dyDescent="0.35">
      <c r="B172">
        <v>170</v>
      </c>
      <c r="C172">
        <f t="shared" si="12"/>
        <v>21.059999999999967</v>
      </c>
      <c r="D172" s="2">
        <f t="shared" si="11"/>
        <v>5.5376000000000003</v>
      </c>
    </row>
    <row r="173" spans="2:4" x14ac:dyDescent="0.35">
      <c r="B173">
        <v>171</v>
      </c>
      <c r="C173">
        <f t="shared" si="12"/>
        <v>21.177999999999965</v>
      </c>
      <c r="D173" s="2">
        <f t="shared" si="11"/>
        <v>5.6597999999999997</v>
      </c>
    </row>
    <row r="174" spans="2:4" x14ac:dyDescent="0.35">
      <c r="B174">
        <v>172</v>
      </c>
      <c r="C174">
        <f t="shared" si="12"/>
        <v>21.295999999999964</v>
      </c>
      <c r="D174" s="2">
        <f t="shared" si="11"/>
        <v>5.7331000000000003</v>
      </c>
    </row>
    <row r="175" spans="2:4" x14ac:dyDescent="0.35">
      <c r="B175">
        <v>173</v>
      </c>
      <c r="C175">
        <f t="shared" si="12"/>
        <v>21.413999999999962</v>
      </c>
      <c r="D175" s="2">
        <f t="shared" si="11"/>
        <v>5.7565</v>
      </c>
    </row>
    <row r="176" spans="2:4" x14ac:dyDescent="0.35">
      <c r="B176">
        <v>174</v>
      </c>
      <c r="C176">
        <f t="shared" si="12"/>
        <v>21.531999999999961</v>
      </c>
      <c r="D176" s="2">
        <f t="shared" si="11"/>
        <v>5.7298</v>
      </c>
    </row>
    <row r="177" spans="2:4" x14ac:dyDescent="0.35">
      <c r="B177">
        <v>175</v>
      </c>
      <c r="C177">
        <f t="shared" si="12"/>
        <v>21.649999999999959</v>
      </c>
      <c r="D177" s="2">
        <f t="shared" si="11"/>
        <v>5.6532999999999998</v>
      </c>
    </row>
    <row r="178" spans="2:4" x14ac:dyDescent="0.35">
      <c r="B178">
        <v>176</v>
      </c>
      <c r="C178">
        <f t="shared" si="12"/>
        <v>21.767999999999958</v>
      </c>
      <c r="D178" s="2">
        <f t="shared" si="11"/>
        <v>5.5282</v>
      </c>
    </row>
    <row r="179" spans="2:4" x14ac:dyDescent="0.35">
      <c r="B179">
        <v>177</v>
      </c>
      <c r="C179">
        <f t="shared" si="12"/>
        <v>21.885999999999957</v>
      </c>
      <c r="D179" s="2">
        <f t="shared" si="11"/>
        <v>5.3563000000000001</v>
      </c>
    </row>
    <row r="180" spans="2:4" x14ac:dyDescent="0.35">
      <c r="B180">
        <v>178</v>
      </c>
      <c r="C180">
        <f t="shared" si="12"/>
        <v>22.003999999999955</v>
      </c>
      <c r="D180" s="2">
        <f t="shared" si="11"/>
        <v>5.1398999999999999</v>
      </c>
    </row>
    <row r="181" spans="2:4" x14ac:dyDescent="0.35">
      <c r="B181">
        <v>179</v>
      </c>
      <c r="C181">
        <f t="shared" si="12"/>
        <v>22.121999999999954</v>
      </c>
      <c r="D181" s="2">
        <f t="shared" si="11"/>
        <v>4.8821000000000003</v>
      </c>
    </row>
    <row r="182" spans="2:4" x14ac:dyDescent="0.35">
      <c r="B182">
        <v>180</v>
      </c>
      <c r="C182">
        <f t="shared" si="12"/>
        <v>22.239999999999952</v>
      </c>
      <c r="D182" s="2">
        <f t="shared" si="11"/>
        <v>4.5865999999999998</v>
      </c>
    </row>
    <row r="183" spans="2:4" x14ac:dyDescent="0.35">
      <c r="B183">
        <v>181</v>
      </c>
      <c r="C183">
        <f t="shared" si="12"/>
        <v>22.357999999999951</v>
      </c>
      <c r="D183" s="2">
        <f t="shared" si="11"/>
        <v>4.2575000000000003</v>
      </c>
    </row>
    <row r="184" spans="2:4" x14ac:dyDescent="0.35">
      <c r="B184">
        <v>182</v>
      </c>
      <c r="C184">
        <f t="shared" si="12"/>
        <v>22.475999999999949</v>
      </c>
      <c r="D184" s="2">
        <f t="shared" si="11"/>
        <v>3.8994</v>
      </c>
    </row>
    <row r="185" spans="2:4" x14ac:dyDescent="0.35">
      <c r="B185">
        <v>183</v>
      </c>
      <c r="C185">
        <f t="shared" si="12"/>
        <v>22.593999999999948</v>
      </c>
      <c r="D185" s="2">
        <f t="shared" si="11"/>
        <v>3.5173999999999999</v>
      </c>
    </row>
    <row r="186" spans="2:4" x14ac:dyDescent="0.35">
      <c r="B186">
        <v>184</v>
      </c>
      <c r="C186">
        <f t="shared" si="12"/>
        <v>22.711999999999946</v>
      </c>
      <c r="D186" s="2">
        <f t="shared" si="11"/>
        <v>3.1166999999999998</v>
      </c>
    </row>
    <row r="187" spans="2:4" x14ac:dyDescent="0.35">
      <c r="B187">
        <v>185</v>
      </c>
      <c r="C187">
        <f t="shared" si="12"/>
        <v>22.829999999999945</v>
      </c>
      <c r="D187" s="2">
        <f t="shared" si="11"/>
        <v>2.7031000000000001</v>
      </c>
    </row>
    <row r="188" spans="2:4" x14ac:dyDescent="0.35">
      <c r="B188">
        <v>186</v>
      </c>
      <c r="C188">
        <f t="shared" si="12"/>
        <v>22.947999999999944</v>
      </c>
      <c r="D188" s="2">
        <f t="shared" si="11"/>
        <v>2.2822</v>
      </c>
    </row>
    <row r="189" spans="2:4" x14ac:dyDescent="0.35">
      <c r="B189">
        <v>187</v>
      </c>
      <c r="C189">
        <f t="shared" si="12"/>
        <v>23.065999999999942</v>
      </c>
      <c r="D189" s="2">
        <f t="shared" si="11"/>
        <v>1.8601000000000001</v>
      </c>
    </row>
    <row r="190" spans="2:4" x14ac:dyDescent="0.35">
      <c r="B190">
        <v>188</v>
      </c>
      <c r="C190">
        <f t="shared" si="12"/>
        <v>23.183999999999941</v>
      </c>
      <c r="D190" s="2">
        <f t="shared" si="11"/>
        <v>1.4424999999999999</v>
      </c>
    </row>
    <row r="191" spans="2:4" x14ac:dyDescent="0.35">
      <c r="B191">
        <v>189</v>
      </c>
      <c r="C191">
        <f t="shared" si="12"/>
        <v>23.301999999999939</v>
      </c>
      <c r="D191" s="2">
        <f t="shared" si="11"/>
        <v>1.0354000000000001</v>
      </c>
    </row>
    <row r="192" spans="2:4" x14ac:dyDescent="0.35">
      <c r="B192">
        <v>190</v>
      </c>
      <c r="C192">
        <f t="shared" si="12"/>
        <v>23.419999999999938</v>
      </c>
      <c r="D192" s="2">
        <f t="shared" si="11"/>
        <v>0.64439999999999997</v>
      </c>
    </row>
    <row r="193" spans="2:4" x14ac:dyDescent="0.35">
      <c r="B193">
        <v>191</v>
      </c>
      <c r="C193">
        <f t="shared" si="12"/>
        <v>23.537999999999936</v>
      </c>
      <c r="D193" s="2">
        <f t="shared" si="11"/>
        <v>0.27500000000000002</v>
      </c>
    </row>
    <row r="194" spans="2:4" x14ac:dyDescent="0.35">
      <c r="B194">
        <v>192</v>
      </c>
      <c r="C194">
        <f t="shared" si="12"/>
        <v>23.655999999999935</v>
      </c>
      <c r="D194" s="2">
        <f t="shared" si="11"/>
        <v>-6.7500000000000004E-2</v>
      </c>
    </row>
    <row r="195" spans="2:4" x14ac:dyDescent="0.35">
      <c r="B195">
        <v>193</v>
      </c>
      <c r="C195">
        <f t="shared" si="12"/>
        <v>23.773999999999933</v>
      </c>
      <c r="D195" s="2">
        <f t="shared" ref="D195:D202" si="13">ROUND(POWER(C195,1/4)+2*SIN(C195)-3*COS(C195),4)</f>
        <v>-0.3785</v>
      </c>
    </row>
    <row r="196" spans="2:4" x14ac:dyDescent="0.35">
      <c r="B196">
        <v>194</v>
      </c>
      <c r="C196">
        <f t="shared" si="12"/>
        <v>23.891999999999932</v>
      </c>
      <c r="D196" s="2">
        <f t="shared" si="13"/>
        <v>-0.65349999999999997</v>
      </c>
    </row>
    <row r="197" spans="2:4" x14ac:dyDescent="0.35">
      <c r="B197">
        <v>195</v>
      </c>
      <c r="C197">
        <f t="shared" ref="C197:C202" si="14">C196+$C$1</f>
        <v>24.009999999999931</v>
      </c>
      <c r="D197" s="2">
        <f t="shared" si="13"/>
        <v>-0.88859999999999995</v>
      </c>
    </row>
    <row r="198" spans="2:4" x14ac:dyDescent="0.35">
      <c r="B198">
        <v>196</v>
      </c>
      <c r="C198">
        <f t="shared" si="14"/>
        <v>24.127999999999929</v>
      </c>
      <c r="D198" s="2">
        <f t="shared" si="13"/>
        <v>-1.0807</v>
      </c>
    </row>
    <row r="199" spans="2:4" x14ac:dyDescent="0.35">
      <c r="B199">
        <v>197</v>
      </c>
      <c r="C199">
        <f t="shared" si="14"/>
        <v>24.245999999999928</v>
      </c>
      <c r="D199" s="2">
        <f t="shared" si="13"/>
        <v>-1.2267999999999999</v>
      </c>
    </row>
    <row r="200" spans="2:4" x14ac:dyDescent="0.35">
      <c r="B200">
        <v>198</v>
      </c>
      <c r="C200">
        <f t="shared" si="14"/>
        <v>24.363999999999926</v>
      </c>
      <c r="D200" s="2">
        <f t="shared" si="13"/>
        <v>-1.3250999999999999</v>
      </c>
    </row>
    <row r="201" spans="2:4" x14ac:dyDescent="0.35">
      <c r="B201">
        <v>199</v>
      </c>
      <c r="C201">
        <f t="shared" si="14"/>
        <v>24.481999999999925</v>
      </c>
      <c r="D201" s="2">
        <f t="shared" si="13"/>
        <v>-1.3741000000000001</v>
      </c>
    </row>
    <row r="202" spans="2:4" x14ac:dyDescent="0.35">
      <c r="B202">
        <v>200</v>
      </c>
      <c r="C202">
        <f t="shared" si="14"/>
        <v>24.599999999999923</v>
      </c>
      <c r="D202" s="2">
        <f t="shared" si="13"/>
        <v>-1.373</v>
      </c>
    </row>
    <row r="203" spans="2:4" x14ac:dyDescent="0.35">
      <c r="D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8.10 (8 mốc)</vt:lpstr>
      <vt:lpstr>Bài 20 ( 8 mốc )</vt:lpstr>
      <vt:lpstr>9 mốc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Quyet Tien 20227033</dc:creator>
  <cp:lastModifiedBy>Dang Quyet Tien 20227033</cp:lastModifiedBy>
  <dcterms:created xsi:type="dcterms:W3CDTF">2024-10-08T02:58:35Z</dcterms:created>
  <dcterms:modified xsi:type="dcterms:W3CDTF">2024-11-03T07:10:22Z</dcterms:modified>
</cp:coreProperties>
</file>