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ien\Desktop\PPS\Tien\3. Nội suy Newton\"/>
    </mc:Choice>
  </mc:AlternateContent>
  <xr:revisionPtr revIDLastSave="0" documentId="13_ncr:1_{4436B8F0-7804-46A5-A71C-7D80936D8763}" xr6:coauthVersionLast="47" xr6:coauthVersionMax="47" xr10:uidLastSave="{00000000-0000-0000-0000-000000000000}"/>
  <bookViews>
    <workbookView xWindow="-110" yWindow="-110" windowWidth="19420" windowHeight="10300" xr2:uid="{33690276-A90C-4337-B0B3-5AE93AEA16A0}"/>
  </bookViews>
  <sheets>
    <sheet name="6 mốc" sheetId="4" r:id="rId1"/>
    <sheet name="Ví dụ ( 7 mốc )" sheetId="1" r:id="rId2"/>
    <sheet name="Bài 17 ( 8 mốc )" sheetId="2" r:id="rId3"/>
    <sheet name="9 mố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 a="1"/>
  <c r="E27" i="4" s="1"/>
  <c r="E28" i="4" s="1" a="1"/>
  <c r="E28" i="4" s="1"/>
  <c r="E29" i="4" s="1" a="1"/>
  <c r="E29" i="4" s="1"/>
  <c r="E30" i="4" s="1" a="1"/>
  <c r="E30" i="4" s="1"/>
  <c r="E26" i="4" a="1"/>
  <c r="E26" i="4" s="1"/>
  <c r="E15" i="4" a="1"/>
  <c r="E15" i="4" s="1"/>
  <c r="E16" i="4" s="1" a="1"/>
  <c r="E16" i="4" s="1"/>
  <c r="E17" i="4" s="1" a="1"/>
  <c r="E17" i="4" s="1"/>
  <c r="E18" i="4" s="1" a="1"/>
  <c r="E18" i="4" s="1"/>
  <c r="E14" i="4" a="1"/>
  <c r="E14" i="4" s="1"/>
  <c r="D14" i="4" a="1"/>
  <c r="D14" i="4" s="1"/>
  <c r="I8" i="4"/>
  <c r="H8" i="4"/>
  <c r="H7" i="4"/>
  <c r="E4" i="4"/>
  <c r="F5" i="4"/>
  <c r="G6" i="4"/>
  <c r="G8" i="4"/>
  <c r="G7" i="4"/>
  <c r="F8" i="4"/>
  <c r="F7" i="4"/>
  <c r="F6" i="4"/>
  <c r="E8" i="4"/>
  <c r="E7" i="4"/>
  <c r="E6" i="4"/>
  <c r="E5" i="4"/>
  <c r="H8" i="1"/>
  <c r="I9" i="1"/>
  <c r="I10" i="2"/>
  <c r="D11" i="4"/>
  <c r="D30" i="4"/>
  <c r="D29" i="4"/>
  <c r="D28" i="4"/>
  <c r="D27" i="4"/>
  <c r="D26" i="4"/>
  <c r="D8" i="4"/>
  <c r="D7" i="4"/>
  <c r="D6" i="4"/>
  <c r="D5" i="4"/>
  <c r="D4" i="4"/>
  <c r="E11" i="4" s="1"/>
  <c r="D3" i="4"/>
  <c r="E21" i="1" a="1"/>
  <c r="E21" i="1" s="1"/>
  <c r="F11" i="1"/>
  <c r="J9" i="1"/>
  <c r="I8" i="1"/>
  <c r="D39" i="3"/>
  <c r="D38" i="3"/>
  <c r="D37" i="3"/>
  <c r="E33" i="3" a="1"/>
  <c r="E33" i="3" s="1"/>
  <c r="E32" i="3" a="1"/>
  <c r="E32" i="3" s="1"/>
  <c r="D36" i="3"/>
  <c r="D35" i="3"/>
  <c r="D34" i="3"/>
  <c r="D33" i="3"/>
  <c r="D32" i="3"/>
  <c r="D15" i="3" a="1"/>
  <c r="D15" i="3" s="1"/>
  <c r="I8" i="3"/>
  <c r="H8" i="3"/>
  <c r="H7" i="3"/>
  <c r="G12" i="3"/>
  <c r="G8" i="3"/>
  <c r="G7" i="3"/>
  <c r="G6" i="3"/>
  <c r="F12" i="3"/>
  <c r="F8" i="3"/>
  <c r="F7" i="3"/>
  <c r="F6" i="3"/>
  <c r="F5" i="3"/>
  <c r="E6" i="3"/>
  <c r="E5" i="3"/>
  <c r="E4" i="3"/>
  <c r="E7" i="3"/>
  <c r="E8" i="3"/>
  <c r="E11" i="3"/>
  <c r="D11" i="3"/>
  <c r="D10" i="3"/>
  <c r="D9" i="3"/>
  <c r="E9" i="3" s="1"/>
  <c r="F9" i="3" s="1"/>
  <c r="G9" i="3" s="1"/>
  <c r="H9" i="3" s="1"/>
  <c r="I9" i="3" s="1"/>
  <c r="J9" i="3" s="1"/>
  <c r="D8" i="3"/>
  <c r="D7" i="3"/>
  <c r="D6" i="3"/>
  <c r="D5" i="3"/>
  <c r="E12" i="3"/>
  <c r="D4" i="3"/>
  <c r="D3" i="3"/>
  <c r="D12" i="3" s="1"/>
  <c r="M44" i="2"/>
  <c r="M43" i="2"/>
  <c r="G44" i="2"/>
  <c r="H44" i="2"/>
  <c r="I44" i="2" s="1"/>
  <c r="J44" i="2" s="1"/>
  <c r="F44" i="2"/>
  <c r="G43" i="2"/>
  <c r="H43" i="2" s="1"/>
  <c r="I43" i="2" s="1"/>
  <c r="J43" i="2" s="1"/>
  <c r="K43" i="2" s="1"/>
  <c r="F43" i="2"/>
  <c r="G42" i="2"/>
  <c r="H42" i="2" s="1"/>
  <c r="I42" i="2" s="1"/>
  <c r="J42" i="2" s="1"/>
  <c r="K42" i="2" s="1"/>
  <c r="L42" i="2" s="1"/>
  <c r="F42" i="2"/>
  <c r="E26" i="2"/>
  <c r="E25" i="2"/>
  <c r="E44" i="2"/>
  <c r="E43" i="2"/>
  <c r="E42" i="2"/>
  <c r="E41" i="2" a="1"/>
  <c r="E41" i="2" s="1"/>
  <c r="E33" i="2" a="1"/>
  <c r="E33" i="2" s="1"/>
  <c r="E34" i="2" s="1" a="1"/>
  <c r="E34" i="2" s="1"/>
  <c r="E35" i="2" s="1" a="1"/>
  <c r="E35" i="2" s="1"/>
  <c r="E36" i="2" s="1" a="1"/>
  <c r="E36" i="2" s="1"/>
  <c r="E37" i="2" s="1" a="1"/>
  <c r="E37" i="2" s="1"/>
  <c r="E38" i="2" s="1" a="1"/>
  <c r="E38" i="2" s="1"/>
  <c r="E32" i="2" a="1"/>
  <c r="E32" i="2" s="1"/>
  <c r="D38" i="2"/>
  <c r="D37" i="2"/>
  <c r="D36" i="2"/>
  <c r="D35" i="2"/>
  <c r="D34" i="2"/>
  <c r="D33" i="2"/>
  <c r="D32" i="2"/>
  <c r="D15" i="2" a="1"/>
  <c r="D15" i="2" s="1"/>
  <c r="D30" i="1"/>
  <c r="D29" i="1"/>
  <c r="D28" i="1"/>
  <c r="D27" i="1"/>
  <c r="D26" i="1"/>
  <c r="D25" i="1"/>
  <c r="F11" i="4" l="1"/>
  <c r="G11" i="4"/>
  <c r="E34" i="3" a="1"/>
  <c r="E34" i="3" s="1"/>
  <c r="E35" i="3" s="1" a="1"/>
  <c r="E35" i="3" s="1"/>
  <c r="E36" i="3" s="1" a="1"/>
  <c r="E36" i="3" s="1"/>
  <c r="E37" i="3" s="1" a="1"/>
  <c r="E37" i="3" s="1"/>
  <c r="E38" i="3" s="1" a="1"/>
  <c r="E38" i="3" s="1"/>
  <c r="E39" i="3" s="1" a="1"/>
  <c r="E39" i="3" s="1"/>
  <c r="E10" i="3"/>
  <c r="E34" i="4" l="1" a="1"/>
  <c r="E34" i="4" s="1"/>
  <c r="E21" i="4" a="1"/>
  <c r="E21" i="4" s="1"/>
  <c r="I11" i="4"/>
  <c r="H11" i="4"/>
  <c r="F11" i="3"/>
  <c r="G11" i="3" s="1"/>
  <c r="F10" i="3"/>
  <c r="G10" i="3" s="1"/>
  <c r="H10" i="3" s="1"/>
  <c r="I10" i="3" s="1"/>
  <c r="J10" i="3" s="1"/>
  <c r="K10" i="3" s="1"/>
  <c r="E15" i="3" a="1"/>
  <c r="E15" i="3" s="1"/>
  <c r="E16" i="3" s="1" a="1"/>
  <c r="E16" i="3" s="1"/>
  <c r="E17" i="3" s="1" a="1"/>
  <c r="E17" i="3" s="1"/>
  <c r="E18" i="3" s="1" a="1"/>
  <c r="E18" i="3" s="1"/>
  <c r="E19" i="3" s="1" a="1"/>
  <c r="E19" i="3" s="1"/>
  <c r="E20" i="3" s="1" a="1"/>
  <c r="E20" i="3" s="1"/>
  <c r="E21" i="3" s="1" a="1"/>
  <c r="E21" i="3" s="1"/>
  <c r="E22" i="3" s="1" a="1"/>
  <c r="E22" i="3" s="1"/>
  <c r="H12" i="3"/>
  <c r="I12" i="3"/>
  <c r="H11" i="3" l="1"/>
  <c r="I11" i="3" s="1"/>
  <c r="J11" i="3" s="1"/>
  <c r="K11" i="3" s="1"/>
  <c r="L11" i="3" s="1"/>
  <c r="L12" i="3" s="1"/>
  <c r="J12" i="3"/>
  <c r="E22" i="4" l="1"/>
  <c r="F22" i="4" s="1"/>
  <c r="G22" i="4" s="1"/>
  <c r="H22" i="4" s="1"/>
  <c r="I22" i="4" s="1"/>
  <c r="J22" i="4" s="1"/>
  <c r="E41" i="3" a="1"/>
  <c r="E41" i="3" s="1"/>
  <c r="E23" i="3" a="1"/>
  <c r="E23" i="3" s="1"/>
  <c r="K12" i="3"/>
  <c r="E25" i="3" l="1"/>
  <c r="E24" i="3"/>
  <c r="F24" i="3" s="1"/>
  <c r="G24" i="3" s="1"/>
  <c r="H24" i="3" s="1"/>
  <c r="I24" i="3" s="1"/>
  <c r="J24" i="3" s="1"/>
  <c r="K24" i="3" s="1"/>
  <c r="L24" i="3" s="1"/>
  <c r="M24" i="3" s="1"/>
  <c r="E26" i="3"/>
  <c r="E25" i="1" a="1"/>
  <c r="E25" i="1" s="1"/>
  <c r="E26" i="1" s="1" a="1"/>
  <c r="E26" i="1" s="1"/>
  <c r="E27" i="1" s="1" a="1"/>
  <c r="E27" i="1" s="1"/>
  <c r="E28" i="1" s="1" a="1"/>
  <c r="E28" i="1" s="1"/>
  <c r="E29" i="1" s="1" a="1"/>
  <c r="E29" i="1" s="1"/>
  <c r="E30" i="1" s="1" a="1"/>
  <c r="E30" i="1" s="1"/>
  <c r="D14" i="1" a="1"/>
  <c r="D14" i="1" s="1"/>
  <c r="E14" i="1" s="1" a="1"/>
  <c r="E14" i="1" s="1"/>
  <c r="E15" i="1" s="1" a="1"/>
  <c r="E15" i="1" s="1"/>
  <c r="E16" i="1" s="1" a="1"/>
  <c r="E16" i="1" s="1"/>
  <c r="E17" i="1" s="1" a="1"/>
  <c r="E17" i="1" s="1"/>
  <c r="E18" i="1" s="1" a="1"/>
  <c r="E18" i="1" s="1"/>
  <c r="E19" i="1" s="1" a="1"/>
  <c r="E19" i="1" s="1"/>
  <c r="G7" i="1"/>
  <c r="F7" i="1"/>
  <c r="E7" i="1"/>
  <c r="F6" i="1"/>
  <c r="F7" i="2"/>
  <c r="F6" i="2"/>
  <c r="F5" i="2"/>
  <c r="E5" i="2"/>
  <c r="E4" i="2"/>
  <c r="J10" i="2"/>
  <c r="K10" i="2"/>
  <c r="E6" i="2"/>
  <c r="E7" i="2"/>
  <c r="F8" i="2" s="1"/>
  <c r="E4" i="1"/>
  <c r="E11" i="1" s="1"/>
  <c r="E5" i="1"/>
  <c r="E15" i="2" a="1"/>
  <c r="E15" i="2" s="1"/>
  <c r="E16" i="2" s="1" a="1"/>
  <c r="E16" i="2" s="1"/>
  <c r="E17" i="2" s="1" a="1"/>
  <c r="E17" i="2" s="1"/>
  <c r="E18" i="2" s="1" a="1"/>
  <c r="E18" i="2" s="1"/>
  <c r="E19" i="2" s="1" a="1"/>
  <c r="E19" i="2" s="1"/>
  <c r="E20" i="2" s="1" a="1"/>
  <c r="E20" i="2" s="1"/>
  <c r="E21" i="2" s="1" a="1"/>
  <c r="E21" i="2" s="1"/>
  <c r="G10" i="2"/>
  <c r="F9" i="2"/>
  <c r="F10" i="2"/>
  <c r="E8" i="2"/>
  <c r="E9" i="2"/>
  <c r="E10" i="2"/>
  <c r="D4" i="2"/>
  <c r="D5" i="2"/>
  <c r="D6" i="2"/>
  <c r="D7" i="2"/>
  <c r="D8" i="2"/>
  <c r="D9" i="2"/>
  <c r="D10" i="2"/>
  <c r="D3" i="2"/>
  <c r="D11" i="1"/>
  <c r="F8" i="1"/>
  <c r="G8" i="1" s="1"/>
  <c r="F9" i="1"/>
  <c r="E6" i="1"/>
  <c r="E8" i="1"/>
  <c r="E9" i="1"/>
  <c r="D4" i="1"/>
  <c r="D5" i="1"/>
  <c r="D6" i="1"/>
  <c r="D7" i="1"/>
  <c r="D8" i="1"/>
  <c r="D9" i="1"/>
  <c r="D3" i="1"/>
  <c r="F25" i="3" l="1"/>
  <c r="G25" i="3" s="1"/>
  <c r="H25" i="3" s="1"/>
  <c r="I25" i="3" s="1"/>
  <c r="J25" i="3" s="1"/>
  <c r="K25" i="3" s="1"/>
  <c r="L25" i="3" s="1"/>
  <c r="N25" i="3" s="1"/>
  <c r="E44" i="3"/>
  <c r="E42" i="3"/>
  <c r="E34" i="1" a="1"/>
  <c r="E34" i="1" s="1"/>
  <c r="G9" i="2"/>
  <c r="G7" i="2"/>
  <c r="F5" i="1"/>
  <c r="G9" i="1"/>
  <c r="E12" i="2"/>
  <c r="D12" i="2"/>
  <c r="F42" i="3" l="1"/>
  <c r="G42" i="3" s="1"/>
  <c r="H42" i="3" s="1"/>
  <c r="I42" i="3" s="1"/>
  <c r="J42" i="3" s="1"/>
  <c r="K42" i="3" s="1"/>
  <c r="L42" i="3" s="1"/>
  <c r="M42" i="3" s="1"/>
  <c r="E43" i="3"/>
  <c r="F26" i="3"/>
  <c r="G26" i="3" s="1"/>
  <c r="H26" i="3" s="1"/>
  <c r="I26" i="3" s="1"/>
  <c r="J26" i="3" s="1"/>
  <c r="K26" i="3" s="1"/>
  <c r="N26" i="3" s="1"/>
  <c r="G8" i="2"/>
  <c r="H8" i="2" s="1"/>
  <c r="H10" i="2"/>
  <c r="G6" i="1"/>
  <c r="G11" i="1" s="1"/>
  <c r="H9" i="1"/>
  <c r="G6" i="2"/>
  <c r="F12" i="2"/>
  <c r="F43" i="3" l="1"/>
  <c r="G43" i="3" s="1"/>
  <c r="H43" i="3" s="1"/>
  <c r="I43" i="3" s="1"/>
  <c r="J43" i="3" s="1"/>
  <c r="K43" i="3" s="1"/>
  <c r="L43" i="3" s="1"/>
  <c r="M43" i="3" s="1"/>
  <c r="H9" i="2"/>
  <c r="I9" i="2" s="1"/>
  <c r="H7" i="1"/>
  <c r="G12" i="2"/>
  <c r="H7" i="2"/>
  <c r="F44" i="3" l="1"/>
  <c r="G44" i="3" s="1"/>
  <c r="H44" i="3" s="1"/>
  <c r="I44" i="3" s="1"/>
  <c r="J44" i="3" s="1"/>
  <c r="K44" i="3" s="1"/>
  <c r="M44" i="3" s="1"/>
  <c r="H11" i="1"/>
  <c r="H12" i="2"/>
  <c r="I8" i="2"/>
  <c r="I11" i="1" l="1"/>
  <c r="J9" i="2"/>
  <c r="I12" i="2"/>
  <c r="J11" i="1" l="1"/>
  <c r="E22" i="1" s="1"/>
  <c r="F22" i="1" s="1"/>
  <c r="G22" i="1" s="1"/>
  <c r="H22" i="1" s="1"/>
  <c r="I22" i="1" s="1"/>
  <c r="J22" i="1" s="1"/>
  <c r="K22" i="1" s="1"/>
  <c r="K12" i="2"/>
  <c r="J12" i="2"/>
  <c r="E23" i="2" l="1" a="1"/>
  <c r="E23" i="2" s="1"/>
  <c r="E24" i="2" s="1"/>
  <c r="F24" i="2" s="1"/>
  <c r="G24" i="2" s="1"/>
  <c r="H24" i="2" s="1"/>
  <c r="I24" i="2" s="1"/>
  <c r="J24" i="2" s="1"/>
  <c r="K24" i="2" s="1"/>
  <c r="L24" i="2" s="1"/>
  <c r="F25" i="2" l="1"/>
  <c r="G25" i="2" s="1"/>
  <c r="H25" i="2" s="1"/>
  <c r="I25" i="2" s="1"/>
  <c r="J25" i="2" s="1"/>
  <c r="K25" i="2" s="1"/>
  <c r="F26" i="2" l="1"/>
  <c r="G26" i="2" s="1"/>
  <c r="H26" i="2" s="1"/>
  <c r="I26" i="2" s="1"/>
  <c r="J26" i="2" s="1"/>
  <c r="N2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<sst xmlns="http://schemas.openxmlformats.org/spreadsheetml/2006/main" count="71" uniqueCount="24">
  <si>
    <t>TSP1</t>
  </si>
  <si>
    <t>TSP2</t>
  </si>
  <si>
    <t>TSP3</t>
  </si>
  <si>
    <t>TSP4</t>
  </si>
  <si>
    <t>TSP5</t>
  </si>
  <si>
    <t>TSP6</t>
  </si>
  <si>
    <t>Vector C_tiến</t>
  </si>
  <si>
    <t>ĐTNS</t>
  </si>
  <si>
    <t>Bảng Tích tiến</t>
  </si>
  <si>
    <t>Bảng Tích lùi</t>
  </si>
  <si>
    <t>C_lùi*Vt_lùi</t>
  </si>
  <si>
    <t>ĐTNS Lùi</t>
  </si>
  <si>
    <t>C_lùi</t>
  </si>
  <si>
    <t>C_tiến</t>
  </si>
  <si>
    <t>Bảng tích tiến</t>
  </si>
  <si>
    <t>ĐTNS Tiến</t>
  </si>
  <si>
    <t>Giá trị tại x =1</t>
  </si>
  <si>
    <t>Đạo hàm cấp 1 tại x = 1</t>
  </si>
  <si>
    <t>Đạo hàm cấp 2 tại x = 1</t>
  </si>
  <si>
    <t>Giá trị tại z=1.64</t>
  </si>
  <si>
    <t>C_ lùi</t>
  </si>
  <si>
    <t>Bảng tích lùi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</si>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</sst>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1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4" fillId="0" borderId="0" xfId="0" applyFont="1"/>
    <xf numFmtId="0" fontId="3" fillId="0" borderId="0" xfId="0" applyFont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5622-8076-4324-822B-6213A7A9FF90}">
  <dimension ref="B2:K34"/>
  <sheetViews>
    <sheetView tabSelected="1" workbookViewId="0">
      <selection activeCell="H11" sqref="H11"/>
    </sheetView>
  </sheetViews>
  <sheetFormatPr defaultRowHeight="14.5" x14ac:dyDescent="0.35"/>
  <cols>
    <col min="2" max="2" width="13.26953125" customWidth="1"/>
    <col min="3" max="3" width="17.453125" customWidth="1"/>
  </cols>
  <sheetData>
    <row r="2" spans="2:11" ht="15" thickBot="1" x14ac:dyDescent="0.4">
      <c r="C2" t="s">
        <v>22</v>
      </c>
      <c r="D2" t="s">
        <v>23</v>
      </c>
      <c r="E2" t="s">
        <v>0</v>
      </c>
      <c r="F2" t="s">
        <v>1</v>
      </c>
      <c r="G2" t="s">
        <v>2</v>
      </c>
      <c r="H2" t="s">
        <v>3</v>
      </c>
      <c r="I2" t="s">
        <v>4</v>
      </c>
    </row>
    <row r="3" spans="2:11" x14ac:dyDescent="0.35">
      <c r="C3" s="2">
        <v>1.57</v>
      </c>
      <c r="D3" s="4">
        <f>ROUND((POWER(C3,2)-3*COS(C3)),4)</f>
        <v>2.4624999999999999</v>
      </c>
    </row>
    <row r="4" spans="2:11" x14ac:dyDescent="0.35">
      <c r="C4" s="5">
        <v>1.59</v>
      </c>
      <c r="D4" s="6">
        <f t="shared" ref="D4:D8" si="0">ROUND((POWER(C4,2)-3*COS(C4)),4)</f>
        <v>2.5857000000000001</v>
      </c>
      <c r="E4">
        <f>(D4-D3)/(C4-C3)</f>
        <v>6.1600000000000046</v>
      </c>
    </row>
    <row r="5" spans="2:11" x14ac:dyDescent="0.35">
      <c r="C5" s="5">
        <v>1.62</v>
      </c>
      <c r="D5" s="6">
        <f t="shared" si="0"/>
        <v>2.7719999999999998</v>
      </c>
      <c r="E5">
        <f>(D5-D4)/(C5-C4)</f>
        <v>6.209999999999984</v>
      </c>
      <c r="F5">
        <f>(E5-E4)/(C5-C3)</f>
        <v>0.999999999999587</v>
      </c>
    </row>
    <row r="6" spans="2:11" x14ac:dyDescent="0.35">
      <c r="C6" s="5">
        <v>1.64</v>
      </c>
      <c r="D6" s="6">
        <f t="shared" si="0"/>
        <v>2.8969999999999998</v>
      </c>
      <c r="E6">
        <f>(D6-D5)/(C6-C5)</f>
        <v>6.2500000000000639</v>
      </c>
      <c r="F6">
        <f>(E6-E5)/(C6-C4)</f>
        <v>0.80000000000160232</v>
      </c>
      <c r="G6">
        <f>(F6-F5)/(C6-C3)</f>
        <v>-2.8571428571140736</v>
      </c>
    </row>
    <row r="7" spans="2:11" ht="15" thickBot="1" x14ac:dyDescent="0.4">
      <c r="C7" s="5">
        <v>1.67</v>
      </c>
      <c r="D7" s="6">
        <f t="shared" si="0"/>
        <v>3.0859999999999999</v>
      </c>
      <c r="E7">
        <f>(D7-D6)/(C7-C6)</f>
        <v>6.2999999999999963</v>
      </c>
      <c r="F7">
        <f>(E7-E6)/(C7-C5)</f>
        <v>0.99999999999864997</v>
      </c>
      <c r="G7">
        <f>(F7-F6)/(C7-C4)</f>
        <v>2.4999999999631002</v>
      </c>
      <c r="H7">
        <f>(G7-G6)/(C7-C3)</f>
        <v>53.571428570771808</v>
      </c>
    </row>
    <row r="8" spans="2:11" ht="15" thickBot="1" x14ac:dyDescent="0.4">
      <c r="C8" s="7">
        <v>1.71</v>
      </c>
      <c r="D8" s="10">
        <f t="shared" si="0"/>
        <v>3.3403999999999998</v>
      </c>
      <c r="E8" s="11">
        <f>(D8-D7)/(C8-C7)</f>
        <v>6.3599999999999932</v>
      </c>
      <c r="F8" s="11">
        <f>(E8-E7)/(C8-C6)</f>
        <v>0.85714285714281269</v>
      </c>
      <c r="G8" s="11">
        <f>(F8-F7)/(C8-C5)</f>
        <v>-1.5873015872870835</v>
      </c>
      <c r="H8" s="11">
        <f>(G8-G7)/(C8-C4)</f>
        <v>-34.060846560418227</v>
      </c>
      <c r="I8" s="12">
        <f>(H8-H7)/(C8-C3)</f>
        <v>-625.94482236564352</v>
      </c>
      <c r="K8" t="s">
        <v>12</v>
      </c>
    </row>
    <row r="9" spans="2:11" x14ac:dyDescent="0.35">
      <c r="D9" s="1"/>
      <c r="E9" s="1"/>
      <c r="F9" s="1"/>
      <c r="G9" s="1"/>
      <c r="H9" s="1"/>
      <c r="I9" s="1"/>
      <c r="J9" s="1"/>
    </row>
    <row r="11" spans="2:11" x14ac:dyDescent="0.35">
      <c r="C11" t="s">
        <v>6</v>
      </c>
      <c r="D11" s="1">
        <f>D3</f>
        <v>2.4624999999999999</v>
      </c>
      <c r="E11" s="1">
        <f>E4</f>
        <v>6.1600000000000046</v>
      </c>
      <c r="F11" s="1">
        <f>F5</f>
        <v>0.999999999999587</v>
      </c>
      <c r="G11" s="1">
        <f>G6</f>
        <v>-2.8571428571140736</v>
      </c>
      <c r="H11" s="1">
        <f>H7</f>
        <v>53.571428570771808</v>
      </c>
      <c r="I11" s="1">
        <f>I8</f>
        <v>-625.94482236564352</v>
      </c>
      <c r="J11" s="1"/>
    </row>
    <row r="12" spans="2:11" ht="15" thickBot="1" x14ac:dyDescent="0.4"/>
    <row r="13" spans="2:11" x14ac:dyDescent="0.35">
      <c r="B13" t="s">
        <v>8</v>
      </c>
      <c r="E13" s="2">
        <v>0</v>
      </c>
      <c r="F13" s="3">
        <v>0</v>
      </c>
      <c r="G13" s="3">
        <v>0</v>
      </c>
      <c r="H13" s="3">
        <v>0</v>
      </c>
      <c r="I13" s="3">
        <v>0</v>
      </c>
      <c r="J13" s="4">
        <v>1</v>
      </c>
    </row>
    <row r="14" spans="2:11" x14ac:dyDescent="0.35">
      <c r="D14" cm="1">
        <f t="array" ref="D14:D18">C3:C7</f>
        <v>1.57</v>
      </c>
      <c r="E14" s="5" cm="1">
        <f t="array" ref="E14:J14">F13:K13-D14*E13:J13</f>
        <v>0</v>
      </c>
      <c r="F14">
        <v>0</v>
      </c>
      <c r="G14">
        <v>0</v>
      </c>
      <c r="H14">
        <v>0</v>
      </c>
      <c r="I14">
        <v>1</v>
      </c>
      <c r="J14" s="6">
        <v>-1.57</v>
      </c>
    </row>
    <row r="15" spans="2:11" x14ac:dyDescent="0.35">
      <c r="D15">
        <v>1.59</v>
      </c>
      <c r="E15" s="5" cm="1">
        <f t="array" ref="E15:J15">F14:K14-D15*E14:J14</f>
        <v>0</v>
      </c>
      <c r="F15">
        <v>0</v>
      </c>
      <c r="G15">
        <v>0</v>
      </c>
      <c r="H15">
        <v>1</v>
      </c>
      <c r="I15">
        <v>-3.16</v>
      </c>
      <c r="J15" s="6">
        <v>2.4963000000000002</v>
      </c>
    </row>
    <row r="16" spans="2:11" x14ac:dyDescent="0.35">
      <c r="D16">
        <v>1.62</v>
      </c>
      <c r="E16" s="5" cm="1">
        <f t="array" ref="E16:J16">F15:K15-D16*E15:J15</f>
        <v>0</v>
      </c>
      <c r="F16">
        <v>0</v>
      </c>
      <c r="G16">
        <v>1</v>
      </c>
      <c r="H16">
        <v>-4.78</v>
      </c>
      <c r="I16">
        <v>7.6155000000000008</v>
      </c>
      <c r="J16" s="6">
        <v>-4.0440060000000004</v>
      </c>
    </row>
    <row r="17" spans="2:11" x14ac:dyDescent="0.35">
      <c r="D17">
        <v>1.64</v>
      </c>
      <c r="E17" s="5" cm="1">
        <f t="array" ref="E17:J17">F16:K16-D17*E16:J16</f>
        <v>0</v>
      </c>
      <c r="F17">
        <v>1</v>
      </c>
      <c r="G17">
        <v>-6.42</v>
      </c>
      <c r="H17">
        <v>15.454700000000001</v>
      </c>
      <c r="I17">
        <v>-16.533426000000002</v>
      </c>
      <c r="J17" s="6">
        <v>6.6321698400000004</v>
      </c>
    </row>
    <row r="18" spans="2:11" x14ac:dyDescent="0.35">
      <c r="D18">
        <v>1.67</v>
      </c>
      <c r="E18" s="5" cm="1">
        <f t="array" ref="E18:J18">F17:K17-D18*E17:J17</f>
        <v>1</v>
      </c>
      <c r="F18" s="16">
        <v>-8.09</v>
      </c>
      <c r="G18" s="16">
        <v>26.176099999999998</v>
      </c>
      <c r="H18" s="16">
        <v>-42.342775000000003</v>
      </c>
      <c r="I18" s="16">
        <v>34.242991260000004</v>
      </c>
      <c r="J18" s="17">
        <v>-11.075723632800001</v>
      </c>
    </row>
    <row r="21" spans="2:11" x14ac:dyDescent="0.35">
      <c r="B21" t="s">
        <v>7</v>
      </c>
      <c r="E21" cm="1">
        <f t="array" ref="E21:J21">MMULT(D11:I11,E13:J18)</f>
        <v>-625.94482236564352</v>
      </c>
      <c r="F21">
        <v>5117.4650415088281</v>
      </c>
      <c r="G21">
        <v>-16731.579979006787</v>
      </c>
      <c r="H21">
        <v>27346.828275833126</v>
      </c>
      <c r="I21">
        <v>-22338.700902926477</v>
      </c>
      <c r="J21">
        <v>7294.9285776137694</v>
      </c>
    </row>
    <row r="22" spans="2:11" x14ac:dyDescent="0.35">
      <c r="C22" t="s">
        <v>19</v>
      </c>
      <c r="D22">
        <v>1.64</v>
      </c>
      <c r="E22">
        <f>E21</f>
        <v>-625.94482236564352</v>
      </c>
      <c r="F22">
        <f>E22*$D$22+F21</f>
        <v>4090.9155328291727</v>
      </c>
      <c r="G22">
        <f t="shared" ref="G22:J22" si="1">F22*$D$22+G21</f>
        <v>-10022.478505166944</v>
      </c>
      <c r="H22">
        <f t="shared" si="1"/>
        <v>10909.963527359338</v>
      </c>
      <c r="I22">
        <f t="shared" si="1"/>
        <v>-4446.3607180571635</v>
      </c>
      <c r="J22" s="1">
        <f t="shared" si="1"/>
        <v>2.8970000000217624</v>
      </c>
      <c r="K22" s="1"/>
    </row>
    <row r="24" spans="2:11" ht="15" thickBot="1" x14ac:dyDescent="0.4"/>
    <row r="25" spans="2:11" x14ac:dyDescent="0.35">
      <c r="B25" t="s">
        <v>9</v>
      </c>
      <c r="E25" s="2">
        <v>0</v>
      </c>
      <c r="F25" s="3">
        <v>0</v>
      </c>
      <c r="G25" s="3">
        <v>0</v>
      </c>
      <c r="H25" s="3">
        <v>0</v>
      </c>
      <c r="I25" s="3">
        <v>0</v>
      </c>
      <c r="J25" s="4">
        <v>1</v>
      </c>
    </row>
    <row r="26" spans="2:11" x14ac:dyDescent="0.35">
      <c r="D26">
        <f>C8</f>
        <v>1.71</v>
      </c>
      <c r="E26" s="5" cm="1">
        <f t="array" ref="E26:J26">F25:K25-D26*E25:J25</f>
        <v>0</v>
      </c>
      <c r="F26">
        <v>0</v>
      </c>
      <c r="G26">
        <v>0</v>
      </c>
      <c r="H26">
        <v>0</v>
      </c>
      <c r="I26">
        <v>1</v>
      </c>
      <c r="J26" s="6">
        <v>-1.71</v>
      </c>
    </row>
    <row r="27" spans="2:11" x14ac:dyDescent="0.35">
      <c r="D27">
        <f>C7</f>
        <v>1.67</v>
      </c>
      <c r="E27" s="5" cm="1">
        <f t="array" ref="E27:J27">F26:K26-D27*E26:J26</f>
        <v>0</v>
      </c>
      <c r="F27">
        <v>0</v>
      </c>
      <c r="G27">
        <v>0</v>
      </c>
      <c r="H27">
        <v>1</v>
      </c>
      <c r="I27">
        <v>-3.38</v>
      </c>
      <c r="J27" s="6">
        <v>2.8556999999999997</v>
      </c>
    </row>
    <row r="28" spans="2:11" x14ac:dyDescent="0.35">
      <c r="D28">
        <f>C6</f>
        <v>1.64</v>
      </c>
      <c r="E28" s="5" cm="1">
        <f t="array" ref="E28:J28">F27:K27-D28*E27:J27</f>
        <v>0</v>
      </c>
      <c r="F28">
        <v>0</v>
      </c>
      <c r="G28">
        <v>1</v>
      </c>
      <c r="H28">
        <v>-5.0199999999999996</v>
      </c>
      <c r="I28">
        <v>8.3988999999999994</v>
      </c>
      <c r="J28" s="6">
        <v>-4.6833479999999996</v>
      </c>
    </row>
    <row r="29" spans="2:11" x14ac:dyDescent="0.35">
      <c r="D29">
        <f>C5</f>
        <v>1.62</v>
      </c>
      <c r="E29" s="5" cm="1">
        <f t="array" ref="E29:J29">F28:K28-D29*E28:J28</f>
        <v>0</v>
      </c>
      <c r="F29">
        <v>1</v>
      </c>
      <c r="G29">
        <v>-6.64</v>
      </c>
      <c r="H29">
        <v>16.531300000000002</v>
      </c>
      <c r="I29">
        <v>-18.289566000000001</v>
      </c>
      <c r="J29" s="6">
        <v>7.5870237600000001</v>
      </c>
    </row>
    <row r="30" spans="2:11" ht="15" thickBot="1" x14ac:dyDescent="0.4">
      <c r="D30">
        <f>C4</f>
        <v>1.59</v>
      </c>
      <c r="E30" s="5" cm="1">
        <f t="array" ref="E30:J30">F29:K29-D30*E29:J29</f>
        <v>1</v>
      </c>
      <c r="F30" s="8">
        <v>-8.23</v>
      </c>
      <c r="G30" s="8">
        <v>27.088900000000002</v>
      </c>
      <c r="H30" s="8">
        <v>-44.574333000000003</v>
      </c>
      <c r="I30" s="8">
        <v>36.667433700000004</v>
      </c>
      <c r="J30" s="9">
        <v>-12.0633677784</v>
      </c>
    </row>
    <row r="33" spans="2:10" x14ac:dyDescent="0.35">
      <c r="E33" t="s">
        <v>10</v>
      </c>
    </row>
    <row r="34" spans="2:10" x14ac:dyDescent="0.35">
      <c r="B34" t="s">
        <v>11</v>
      </c>
      <c r="E34" cm="1">
        <f t="array" ref="E34:J34">MMULT(D8:I8,E25:J30)</f>
        <v>-625.94482236564352</v>
      </c>
      <c r="F34">
        <v>5117.4650415088281</v>
      </c>
      <c r="G34">
        <v>-16731.57997900679</v>
      </c>
      <c r="H34">
        <v>27346.828275833126</v>
      </c>
      <c r="I34">
        <v>-22338.700902926477</v>
      </c>
      <c r="J34">
        <v>7294.9285776137685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4A3C-64A1-4CB8-ADDF-904884A4C53C}">
  <dimension ref="B2:K34"/>
  <sheetViews>
    <sheetView topLeftCell="A15" workbookViewId="0">
      <selection activeCell="E27" sqref="E27"/>
    </sheetView>
  </sheetViews>
  <sheetFormatPr defaultRowHeight="14.5" x14ac:dyDescent="0.35"/>
  <cols>
    <col min="2" max="2" width="13.26953125" customWidth="1"/>
    <col min="3" max="3" width="13.54296875" customWidth="1"/>
  </cols>
  <sheetData>
    <row r="2" spans="2:11" ht="15" thickBot="1" x14ac:dyDescent="0.4">
      <c r="C2" t="s">
        <v>22</v>
      </c>
      <c r="D2" t="s">
        <v>23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</row>
    <row r="3" spans="2:11" x14ac:dyDescent="0.35">
      <c r="C3" s="2">
        <v>1.57</v>
      </c>
      <c r="D3" s="4">
        <f>ROUND((POWER(C3,2)-3*COS(C3)),4)</f>
        <v>2.4624999999999999</v>
      </c>
    </row>
    <row r="4" spans="2:11" x14ac:dyDescent="0.35">
      <c r="C4" s="5">
        <v>1.59</v>
      </c>
      <c r="D4" s="6">
        <f t="shared" ref="D4:D9" si="0">ROUND((POWER(C4,2)-3*COS(C4)),4)</f>
        <v>2.5857000000000001</v>
      </c>
      <c r="E4">
        <f>(D4-D3)/(C4-C3)</f>
        <v>6.1600000000000046</v>
      </c>
    </row>
    <row r="5" spans="2:11" x14ac:dyDescent="0.35">
      <c r="C5" s="5">
        <v>1.62</v>
      </c>
      <c r="D5" s="6">
        <f t="shared" si="0"/>
        <v>2.7719999999999998</v>
      </c>
      <c r="E5">
        <f t="shared" ref="E5:E9" si="1">(D5-D4)/(C5-C4)</f>
        <v>6.209999999999984</v>
      </c>
      <c r="F5">
        <f>(E5-E4)/(C5-C3)</f>
        <v>0.999999999999587</v>
      </c>
    </row>
    <row r="6" spans="2:11" x14ac:dyDescent="0.35">
      <c r="C6" s="5">
        <v>1.64</v>
      </c>
      <c r="D6" s="6">
        <f t="shared" si="0"/>
        <v>2.8969999999999998</v>
      </c>
      <c r="E6">
        <f t="shared" si="1"/>
        <v>6.2500000000000639</v>
      </c>
      <c r="F6">
        <f>(E6-E5)/(C6-C4)</f>
        <v>0.80000000000160232</v>
      </c>
      <c r="G6">
        <f>(F6-F5)/(C6-C3)</f>
        <v>-2.8571428571140736</v>
      </c>
    </row>
    <row r="7" spans="2:11" x14ac:dyDescent="0.35">
      <c r="C7" s="5">
        <v>1.67</v>
      </c>
      <c r="D7" s="6">
        <f t="shared" si="0"/>
        <v>3.0859999999999999</v>
      </c>
      <c r="E7">
        <f>(D7-D6)/(C7-C6)</f>
        <v>6.2999999999999963</v>
      </c>
      <c r="F7">
        <f>(E7-E6)/(C7-C5)</f>
        <v>0.99999999999864997</v>
      </c>
      <c r="G7">
        <f>(F7-F6)/(C7-C4)</f>
        <v>2.4999999999631002</v>
      </c>
      <c r="H7">
        <f>(G7-G6)/(C7-C3)</f>
        <v>53.571428570771808</v>
      </c>
    </row>
    <row r="8" spans="2:11" ht="15" thickBot="1" x14ac:dyDescent="0.4">
      <c r="C8" s="5">
        <v>1.71</v>
      </c>
      <c r="D8" s="6">
        <f t="shared" si="0"/>
        <v>3.3403999999999998</v>
      </c>
      <c r="E8">
        <f t="shared" si="1"/>
        <v>6.3599999999999932</v>
      </c>
      <c r="F8">
        <f t="shared" ref="F8:F9" si="2">(E8-E7)/(C8-C6)</f>
        <v>0.85714285714281269</v>
      </c>
      <c r="G8">
        <f t="shared" ref="G8:G9" si="3">(F8-F7)/(C8-C5)</f>
        <v>-1.5873015872870835</v>
      </c>
      <c r="H8">
        <f>(G8-G7)/(C8-C4)</f>
        <v>-34.060846560418227</v>
      </c>
      <c r="I8">
        <f>(H8-H7)/(C8-C3)</f>
        <v>-625.94482236564352</v>
      </c>
    </row>
    <row r="9" spans="2:11" ht="15" thickBot="1" x14ac:dyDescent="0.4">
      <c r="C9" s="7">
        <v>1.74</v>
      </c>
      <c r="D9" s="10">
        <f t="shared" si="0"/>
        <v>3.5327999999999999</v>
      </c>
      <c r="E9" s="11">
        <f t="shared" si="1"/>
        <v>6.4133333333333322</v>
      </c>
      <c r="F9" s="11">
        <f t="shared" si="2"/>
        <v>0.76190476190484224</v>
      </c>
      <c r="G9" s="11">
        <f t="shared" si="3"/>
        <v>-0.95238095237970355</v>
      </c>
      <c r="H9" s="11">
        <f t="shared" ref="H9" si="4">(G9-G8)/(C9-C5)</f>
        <v>5.2910052908948382</v>
      </c>
      <c r="I9" s="11">
        <f>(H9-H8)/(C9-C4)</f>
        <v>262.3456790087539</v>
      </c>
      <c r="J9" s="12">
        <f>(I9-I8)/(C9-C3)</f>
        <v>5225.2382433788107</v>
      </c>
      <c r="K9" t="s">
        <v>12</v>
      </c>
    </row>
    <row r="11" spans="2:11" x14ac:dyDescent="0.35">
      <c r="C11" t="s">
        <v>6</v>
      </c>
      <c r="D11" s="1">
        <f>D3</f>
        <v>2.4624999999999999</v>
      </c>
      <c r="E11" s="1">
        <f>E4</f>
        <v>6.1600000000000046</v>
      </c>
      <c r="F11" s="1">
        <f>F5</f>
        <v>0.999999999999587</v>
      </c>
      <c r="G11" s="1">
        <f>G6</f>
        <v>-2.8571428571140736</v>
      </c>
      <c r="H11" s="1">
        <f>H7</f>
        <v>53.571428570771808</v>
      </c>
      <c r="I11" s="1">
        <f>I8</f>
        <v>-625.94482236564352</v>
      </c>
      <c r="J11" s="1">
        <f>J9</f>
        <v>5225.2382433788107</v>
      </c>
    </row>
    <row r="12" spans="2:11" ht="15" thickBot="1" x14ac:dyDescent="0.4"/>
    <row r="13" spans="2:11" x14ac:dyDescent="0.35">
      <c r="B13" t="s">
        <v>8</v>
      </c>
      <c r="E13" s="2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1</v>
      </c>
    </row>
    <row r="14" spans="2:11" x14ac:dyDescent="0.35">
      <c r="D14" cm="1">
        <f t="array" ref="D14:D19">C3:C8</f>
        <v>1.57</v>
      </c>
      <c r="E14" s="5" cm="1">
        <f t="array" ref="E14:K14">F13:L13-D14*E13:K13</f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6">
        <v>-1.57</v>
      </c>
    </row>
    <row r="15" spans="2:11" x14ac:dyDescent="0.35">
      <c r="D15">
        <v>1.59</v>
      </c>
      <c r="E15" s="5" cm="1">
        <f t="array" ref="E15:K15">F14:L14-D15*E14:K14</f>
        <v>0</v>
      </c>
      <c r="F15">
        <v>0</v>
      </c>
      <c r="G15">
        <v>0</v>
      </c>
      <c r="H15">
        <v>0</v>
      </c>
      <c r="I15">
        <v>1</v>
      </c>
      <c r="J15">
        <v>-3.16</v>
      </c>
      <c r="K15" s="6">
        <v>2.4963000000000002</v>
      </c>
    </row>
    <row r="16" spans="2:11" x14ac:dyDescent="0.35">
      <c r="D16">
        <v>1.62</v>
      </c>
      <c r="E16" s="5" cm="1">
        <f t="array" ref="E16:K16">F15:L15-D16*E15:K15</f>
        <v>0</v>
      </c>
      <c r="F16">
        <v>0</v>
      </c>
      <c r="G16">
        <v>0</v>
      </c>
      <c r="H16">
        <v>1</v>
      </c>
      <c r="I16">
        <v>-4.78</v>
      </c>
      <c r="J16">
        <v>7.6155000000000008</v>
      </c>
      <c r="K16" s="6">
        <v>-4.0440060000000004</v>
      </c>
    </row>
    <row r="17" spans="2:11" x14ac:dyDescent="0.35">
      <c r="D17">
        <v>1.64</v>
      </c>
      <c r="E17" s="5" cm="1">
        <f t="array" ref="E17:K17">F16:L16-D17*E16:K16</f>
        <v>0</v>
      </c>
      <c r="F17">
        <v>0</v>
      </c>
      <c r="G17">
        <v>1</v>
      </c>
      <c r="H17">
        <v>-6.42</v>
      </c>
      <c r="I17">
        <v>15.454700000000001</v>
      </c>
      <c r="J17">
        <v>-16.533426000000002</v>
      </c>
      <c r="K17" s="6">
        <v>6.6321698400000004</v>
      </c>
    </row>
    <row r="18" spans="2:11" x14ac:dyDescent="0.35">
      <c r="D18">
        <v>1.67</v>
      </c>
      <c r="E18" s="5" cm="1">
        <f t="array" ref="E18:K18">F17:L17-D18*E17:K17</f>
        <v>0</v>
      </c>
      <c r="F18">
        <v>1</v>
      </c>
      <c r="G18">
        <v>-8.09</v>
      </c>
      <c r="H18">
        <v>26.176099999999998</v>
      </c>
      <c r="I18">
        <v>-42.342775000000003</v>
      </c>
      <c r="J18">
        <v>34.242991260000004</v>
      </c>
      <c r="K18" s="6">
        <v>-11.075723632800001</v>
      </c>
    </row>
    <row r="19" spans="2:11" ht="15" thickBot="1" x14ac:dyDescent="0.4">
      <c r="D19">
        <v>1.71</v>
      </c>
      <c r="E19" s="7" cm="1">
        <f t="array" ref="E19:K19">F18:L18-D19*E18:K18</f>
        <v>1</v>
      </c>
      <c r="F19" s="8">
        <v>-9.8000000000000007</v>
      </c>
      <c r="G19" s="8">
        <v>40.01</v>
      </c>
      <c r="H19" s="8">
        <v>-87.103905999999995</v>
      </c>
      <c r="I19" s="8">
        <v>106.64913651000001</v>
      </c>
      <c r="J19" s="8">
        <v>-69.631238687400014</v>
      </c>
      <c r="K19" s="9">
        <v>18.939487412088003</v>
      </c>
    </row>
    <row r="21" spans="2:11" x14ac:dyDescent="0.35">
      <c r="B21" t="s">
        <v>7</v>
      </c>
      <c r="E21" cm="1">
        <f t="array" ref="E21:K21">MMULT(D11:J11,E13:K19)</f>
        <v>5225.2382433788107</v>
      </c>
      <c r="F21">
        <v>-51833.279607477991</v>
      </c>
      <c r="G21">
        <v>214179.24715909504</v>
      </c>
      <c r="H21">
        <v>-471870.2407578798</v>
      </c>
      <c r="I21">
        <v>584613.9749912126</v>
      </c>
      <c r="J21">
        <v>-386178.51222616725</v>
      </c>
      <c r="K21">
        <v>106258.26251324758</v>
      </c>
    </row>
    <row r="22" spans="2:11" x14ac:dyDescent="0.35">
      <c r="C22" t="s">
        <v>19</v>
      </c>
      <c r="D22">
        <v>1.64</v>
      </c>
      <c r="E22">
        <f>E21</f>
        <v>5225.2382433788107</v>
      </c>
      <c r="F22">
        <f>E22*$D$22+F21</f>
        <v>-43263.88888833674</v>
      </c>
      <c r="G22">
        <f t="shared" ref="G22:K22" si="5">F22*$D$22+G21</f>
        <v>143226.4693822228</v>
      </c>
      <c r="H22">
        <f t="shared" si="5"/>
        <v>-236978.83097103442</v>
      </c>
      <c r="I22">
        <f t="shared" si="5"/>
        <v>195968.69219871616</v>
      </c>
      <c r="J22">
        <f t="shared" si="5"/>
        <v>-64789.857020272757</v>
      </c>
      <c r="K22" s="1">
        <f t="shared" si="5"/>
        <v>2.8970000002591405</v>
      </c>
    </row>
    <row r="23" spans="2:11" ht="15" thickBot="1" x14ac:dyDescent="0.4"/>
    <row r="24" spans="2:11" x14ac:dyDescent="0.35">
      <c r="E24" s="2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4">
        <v>1</v>
      </c>
    </row>
    <row r="25" spans="2:11" x14ac:dyDescent="0.35">
      <c r="B25" t="s">
        <v>9</v>
      </c>
      <c r="D25">
        <f>C9</f>
        <v>1.74</v>
      </c>
      <c r="E25" s="5" cm="1">
        <f t="array" ref="E25:K25">F24:L24-D25*E24:K24</f>
        <v>0</v>
      </c>
      <c r="F25">
        <v>0</v>
      </c>
      <c r="G25">
        <v>0</v>
      </c>
      <c r="H25">
        <v>0</v>
      </c>
      <c r="I25">
        <v>0</v>
      </c>
      <c r="J25">
        <v>1</v>
      </c>
      <c r="K25" s="6">
        <v>-1.74</v>
      </c>
    </row>
    <row r="26" spans="2:11" x14ac:dyDescent="0.35">
      <c r="D26">
        <f>C8</f>
        <v>1.71</v>
      </c>
      <c r="E26" s="5" cm="1">
        <f t="array" ref="E26:K26">F25:L25-D26*E25:K25</f>
        <v>0</v>
      </c>
      <c r="F26">
        <v>0</v>
      </c>
      <c r="G26">
        <v>0</v>
      </c>
      <c r="H26">
        <v>0</v>
      </c>
      <c r="I26">
        <v>1</v>
      </c>
      <c r="J26">
        <v>-3.45</v>
      </c>
      <c r="K26" s="6">
        <v>2.9754</v>
      </c>
    </row>
    <row r="27" spans="2:11" x14ac:dyDescent="0.35">
      <c r="D27">
        <f>C7</f>
        <v>1.67</v>
      </c>
      <c r="E27" s="5" cm="1">
        <f t="array" ref="E27:K27">F26:L26-D27*E26:K26</f>
        <v>0</v>
      </c>
      <c r="F27">
        <v>0</v>
      </c>
      <c r="G27">
        <v>0</v>
      </c>
      <c r="H27">
        <v>1</v>
      </c>
      <c r="I27">
        <v>-5.12</v>
      </c>
      <c r="J27">
        <v>8.7369000000000003</v>
      </c>
      <c r="K27" s="6">
        <v>-4.9689179999999995</v>
      </c>
    </row>
    <row r="28" spans="2:11" x14ac:dyDescent="0.35">
      <c r="D28">
        <f>C6</f>
        <v>1.64</v>
      </c>
      <c r="E28" s="5" cm="1">
        <f t="array" ref="E28:K28">F27:L27-D28*E27:K27</f>
        <v>0</v>
      </c>
      <c r="F28">
        <v>0</v>
      </c>
      <c r="G28">
        <v>1</v>
      </c>
      <c r="H28">
        <v>-6.76</v>
      </c>
      <c r="I28">
        <v>17.133699999999997</v>
      </c>
      <c r="J28">
        <v>-19.297433999999999</v>
      </c>
      <c r="K28" s="6">
        <v>8.1490255199999986</v>
      </c>
    </row>
    <row r="29" spans="2:11" x14ac:dyDescent="0.35">
      <c r="D29">
        <f>C5</f>
        <v>1.62</v>
      </c>
      <c r="E29" s="5" cm="1">
        <f t="array" ref="E29:K29">F28:L28-D29*E28:K28</f>
        <v>0</v>
      </c>
      <c r="F29">
        <v>1</v>
      </c>
      <c r="G29">
        <v>-8.379999999999999</v>
      </c>
      <c r="H29">
        <v>28.084899999999998</v>
      </c>
      <c r="I29">
        <v>-47.054027999999995</v>
      </c>
      <c r="J29">
        <v>39.410868600000001</v>
      </c>
      <c r="K29" s="6">
        <v>-13.201421342399998</v>
      </c>
    </row>
    <row r="30" spans="2:11" ht="15" thickBot="1" x14ac:dyDescent="0.4">
      <c r="D30">
        <f>C4</f>
        <v>1.59</v>
      </c>
      <c r="E30" s="7" cm="1">
        <f t="array" ref="E30:K30">F29:L29-D30*E29:K29</f>
        <v>1</v>
      </c>
      <c r="F30" s="8">
        <v>-9.9699999999999989</v>
      </c>
      <c r="G30" s="8">
        <v>41.409099999999995</v>
      </c>
      <c r="H30" s="8">
        <v>-91.709018999999984</v>
      </c>
      <c r="I30" s="8">
        <v>114.22677311999999</v>
      </c>
      <c r="J30" s="8">
        <v>-75.864702416400007</v>
      </c>
      <c r="K30" s="9">
        <v>20.990259934415999</v>
      </c>
    </row>
    <row r="33" spans="2:11" x14ac:dyDescent="0.35">
      <c r="E33" t="s">
        <v>10</v>
      </c>
    </row>
    <row r="34" spans="2:11" x14ac:dyDescent="0.35">
      <c r="B34" t="s">
        <v>11</v>
      </c>
      <c r="E34" cm="1">
        <f t="array" ref="E34:K34">MMULT(D9:J9,E24:K30)</f>
        <v>5225.2382433788107</v>
      </c>
      <c r="F34">
        <v>-51833.279607477984</v>
      </c>
      <c r="G34">
        <v>214179.24715909502</v>
      </c>
      <c r="H34">
        <v>-471870.24075787974</v>
      </c>
      <c r="I34">
        <v>584613.97499121248</v>
      </c>
      <c r="J34">
        <v>-386178.51222616719</v>
      </c>
      <c r="K34">
        <v>106258.26251324757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3FF7-4B11-4F8A-838C-60DDC97A859E}">
  <dimension ref="C2:N44"/>
  <sheetViews>
    <sheetView workbookViewId="0">
      <selection activeCell="I11" sqref="I11"/>
    </sheetView>
  </sheetViews>
  <sheetFormatPr defaultRowHeight="14.5" x14ac:dyDescent="0.35"/>
  <cols>
    <col min="3" max="3" width="21.7265625" customWidth="1"/>
  </cols>
  <sheetData>
    <row r="2" spans="3:13" ht="15" thickBot="1" x14ac:dyDescent="0.4">
      <c r="C2" t="s">
        <v>22</v>
      </c>
      <c r="D2" t="s">
        <v>23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</row>
    <row r="3" spans="3:13" x14ac:dyDescent="0.35">
      <c r="C3" s="2">
        <v>0.3</v>
      </c>
      <c r="D3" s="4">
        <f>ROUND((4.57*C3^4+3.78*C3^3+2*C3-5*SIN(C3)),3)</f>
        <v>-0.73899999999999999</v>
      </c>
    </row>
    <row r="4" spans="3:13" x14ac:dyDescent="0.35">
      <c r="C4" s="5">
        <v>0.6</v>
      </c>
      <c r="D4" s="6">
        <f t="shared" ref="D4:D10" si="0">ROUND((4.57*C4^4+3.78*C4^3+2*C4-5*SIN(C4)),3)</f>
        <v>-0.214</v>
      </c>
      <c r="E4">
        <f>(D4-D3)/(C4-C3)</f>
        <v>1.7500000000000002</v>
      </c>
    </row>
    <row r="5" spans="3:13" x14ac:dyDescent="0.35">
      <c r="C5" s="5">
        <v>0.8</v>
      </c>
      <c r="D5" s="6">
        <f t="shared" si="0"/>
        <v>1.82</v>
      </c>
      <c r="E5">
        <f>(D5-D4)/(C5-C4)</f>
        <v>10.169999999999998</v>
      </c>
      <c r="F5">
        <f>(E5-E4)/(C5-C3)</f>
        <v>16.839999999999996</v>
      </c>
    </row>
    <row r="6" spans="3:13" x14ac:dyDescent="0.35">
      <c r="C6" s="5">
        <v>0.9</v>
      </c>
      <c r="D6" s="6">
        <f t="shared" si="0"/>
        <v>3.637</v>
      </c>
      <c r="E6">
        <f t="shared" ref="E6:E10" si="1">(D6-D5)/(C6-C5)</f>
        <v>18.170000000000005</v>
      </c>
      <c r="F6">
        <f>(E6-E5)/(C6-C4)</f>
        <v>26.666666666666686</v>
      </c>
      <c r="G6">
        <f>(F6-F5)/(C6-C3)</f>
        <v>16.377777777777812</v>
      </c>
    </row>
    <row r="7" spans="3:13" x14ac:dyDescent="0.35">
      <c r="C7" s="5">
        <v>1.2</v>
      </c>
      <c r="D7" s="6">
        <f t="shared" si="0"/>
        <v>13.747999999999999</v>
      </c>
      <c r="E7">
        <f t="shared" si="1"/>
        <v>33.70333333333334</v>
      </c>
      <c r="F7">
        <f>(E7-E6)/(C7-C5)</f>
        <v>38.833333333333343</v>
      </c>
      <c r="G7">
        <f t="shared" ref="G7:G10" si="2">(F7-F6)/(C7-C4)</f>
        <v>20.277777777777764</v>
      </c>
      <c r="H7">
        <f>(G7-G6)/(C7-C3)</f>
        <v>4.3333333333332806</v>
      </c>
    </row>
    <row r="8" spans="3:13" x14ac:dyDescent="0.35">
      <c r="C8" s="5">
        <v>1.4</v>
      </c>
      <c r="D8" s="6">
        <f t="shared" si="0"/>
        <v>25.800999999999998</v>
      </c>
      <c r="E8">
        <f t="shared" si="1"/>
        <v>60.265000000000008</v>
      </c>
      <c r="F8">
        <f t="shared" ref="F8:F10" si="3">(E8-E7)/(C8-C6)</f>
        <v>53.123333333333349</v>
      </c>
      <c r="G8">
        <f t="shared" si="2"/>
        <v>23.816666666666681</v>
      </c>
      <c r="H8">
        <f t="shared" ref="H8:H10" si="4">(G8-G7)/(C8-C4)</f>
        <v>4.4236111111111454</v>
      </c>
      <c r="I8">
        <f>(H8-H7)/(C8-C3)</f>
        <v>8.207070707078612E-2</v>
      </c>
    </row>
    <row r="9" spans="3:13" x14ac:dyDescent="0.35">
      <c r="C9" s="5">
        <v>1.7</v>
      </c>
      <c r="D9" s="6">
        <f t="shared" si="0"/>
        <v>55.182000000000002</v>
      </c>
      <c r="E9">
        <f t="shared" si="1"/>
        <v>97.936666666666667</v>
      </c>
      <c r="F9">
        <f t="shared" si="3"/>
        <v>75.34333333333332</v>
      </c>
      <c r="G9">
        <f t="shared" si="2"/>
        <v>27.774999999999967</v>
      </c>
      <c r="H9">
        <f t="shared" si="4"/>
        <v>4.3981481481480955</v>
      </c>
      <c r="I9">
        <f t="shared" ref="I9" si="5">(H9-H8)/(C9-C4)</f>
        <v>-2.3148148148227125E-2</v>
      </c>
      <c r="J9">
        <f>(I9-I8)/(C9-C3)</f>
        <v>-7.5156325156438039E-2</v>
      </c>
    </row>
    <row r="10" spans="3:13" ht="15" thickBot="1" x14ac:dyDescent="0.4">
      <c r="C10" s="7">
        <v>1.9</v>
      </c>
      <c r="D10" s="13">
        <f t="shared" si="0"/>
        <v>84.552000000000007</v>
      </c>
      <c r="E10" s="1">
        <f t="shared" si="1"/>
        <v>146.85000000000005</v>
      </c>
      <c r="F10" s="1">
        <f t="shared" si="3"/>
        <v>97.826666666666767</v>
      </c>
      <c r="G10" s="1">
        <f t="shared" si="2"/>
        <v>32.119047619047784</v>
      </c>
      <c r="H10" s="1">
        <f t="shared" si="4"/>
        <v>4.3440476190478181</v>
      </c>
      <c r="I10" s="1">
        <f>(H10-H9)/(C10-C5)</f>
        <v>-4.9182299182070371E-2</v>
      </c>
      <c r="J10" s="1">
        <f>(I10-I9)/(C10-C4)</f>
        <v>-2.0026270026033268E-2</v>
      </c>
      <c r="K10" s="1">
        <f>(J10-J9)/(C10-C3)</f>
        <v>3.4456284456502985E-2</v>
      </c>
      <c r="M10" s="1" t="s">
        <v>20</v>
      </c>
    </row>
    <row r="12" spans="3:13" x14ac:dyDescent="0.35">
      <c r="C12" t="s">
        <v>13</v>
      </c>
      <c r="D12" s="1">
        <f>D3</f>
        <v>-0.73899999999999999</v>
      </c>
      <c r="E12" s="1">
        <f>E4</f>
        <v>1.7500000000000002</v>
      </c>
      <c r="F12" s="1">
        <f>F5</f>
        <v>16.839999999999996</v>
      </c>
      <c r="G12" s="1">
        <f>G6</f>
        <v>16.377777777777812</v>
      </c>
      <c r="H12" s="1">
        <f>H7</f>
        <v>4.3333333333332806</v>
      </c>
      <c r="I12" s="1">
        <f>I8</f>
        <v>8.207070707078612E-2</v>
      </c>
      <c r="J12" s="1">
        <f>J9</f>
        <v>-7.5156325156438039E-2</v>
      </c>
      <c r="K12" s="1">
        <f>K10</f>
        <v>3.4456284456502985E-2</v>
      </c>
    </row>
    <row r="13" spans="3:13" ht="15" thickBot="1" x14ac:dyDescent="0.4"/>
    <row r="14" spans="3:13" x14ac:dyDescent="0.35">
      <c r="C14" t="s">
        <v>14</v>
      </c>
      <c r="E14" s="2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4">
        <v>1</v>
      </c>
    </row>
    <row r="15" spans="3:13" x14ac:dyDescent="0.35">
      <c r="D15" cm="1">
        <f t="array" ref="D15:D21">C3:C9</f>
        <v>0.3</v>
      </c>
      <c r="E15" s="5" cm="1">
        <f t="array" ref="E15:L15">F14:M14-D15*E14:L14</f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 s="6">
        <v>-0.3</v>
      </c>
    </row>
    <row r="16" spans="3:13" x14ac:dyDescent="0.35">
      <c r="D16">
        <v>0.6</v>
      </c>
      <c r="E16" s="5" cm="1">
        <f t="array" ref="E16:L16">F15:M15-D16*E15:L15</f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-0.89999999999999991</v>
      </c>
      <c r="L16" s="6">
        <v>0.18</v>
      </c>
    </row>
    <row r="17" spans="3:14" x14ac:dyDescent="0.35">
      <c r="D17">
        <v>0.8</v>
      </c>
      <c r="E17" s="5" cm="1">
        <f t="array" ref="E17:L17">F16:M16-D17*E16:L16</f>
        <v>0</v>
      </c>
      <c r="F17">
        <v>0</v>
      </c>
      <c r="G17">
        <v>0</v>
      </c>
      <c r="H17">
        <v>0</v>
      </c>
      <c r="I17">
        <v>1</v>
      </c>
      <c r="J17">
        <v>-1.7</v>
      </c>
      <c r="K17">
        <v>0.89999999999999991</v>
      </c>
      <c r="L17" s="6">
        <v>-0.14399999999999999</v>
      </c>
    </row>
    <row r="18" spans="3:14" x14ac:dyDescent="0.35">
      <c r="D18">
        <v>0.9</v>
      </c>
      <c r="E18" s="5" cm="1">
        <f t="array" ref="E18:L18">F17:M17-D18*E17:L17</f>
        <v>0</v>
      </c>
      <c r="F18">
        <v>0</v>
      </c>
      <c r="G18">
        <v>0</v>
      </c>
      <c r="H18">
        <v>1</v>
      </c>
      <c r="I18">
        <v>-2.6</v>
      </c>
      <c r="J18">
        <v>2.4299999999999997</v>
      </c>
      <c r="K18">
        <v>-0.95399999999999996</v>
      </c>
      <c r="L18" s="6">
        <v>0.12959999999999999</v>
      </c>
    </row>
    <row r="19" spans="3:14" x14ac:dyDescent="0.35">
      <c r="D19">
        <v>1.2</v>
      </c>
      <c r="E19" s="5" cm="1">
        <f t="array" ref="E19:L19">F18:M18-D19*E18:L18</f>
        <v>0</v>
      </c>
      <c r="F19">
        <v>0</v>
      </c>
      <c r="G19">
        <v>1</v>
      </c>
      <c r="H19">
        <v>-3.8</v>
      </c>
      <c r="I19">
        <v>5.55</v>
      </c>
      <c r="J19">
        <v>-3.8699999999999992</v>
      </c>
      <c r="K19">
        <v>1.2743999999999998</v>
      </c>
      <c r="L19" s="6">
        <v>-0.15551999999999999</v>
      </c>
    </row>
    <row r="20" spans="3:14" x14ac:dyDescent="0.35">
      <c r="D20">
        <v>1.4</v>
      </c>
      <c r="E20" s="5" cm="1">
        <f t="array" ref="E20:L20">F19:M19-D20*E19:L19</f>
        <v>0</v>
      </c>
      <c r="F20">
        <v>1</v>
      </c>
      <c r="G20">
        <v>-5.1999999999999993</v>
      </c>
      <c r="H20">
        <v>10.87</v>
      </c>
      <c r="I20">
        <v>-11.639999999999999</v>
      </c>
      <c r="J20">
        <v>6.6923999999999984</v>
      </c>
      <c r="K20">
        <v>-1.9396799999999996</v>
      </c>
      <c r="L20" s="6">
        <v>0.21772799999999998</v>
      </c>
    </row>
    <row r="21" spans="3:14" ht="15" thickBot="1" x14ac:dyDescent="0.4">
      <c r="D21">
        <v>1.7</v>
      </c>
      <c r="E21" s="7" cm="1">
        <f t="array" ref="E21:L21">F20:M20-D21*E20:L20</f>
        <v>1</v>
      </c>
      <c r="F21" s="8">
        <v>-6.8999999999999995</v>
      </c>
      <c r="G21" s="8">
        <v>19.709999999999997</v>
      </c>
      <c r="H21" s="8">
        <v>-30.119</v>
      </c>
      <c r="I21" s="8">
        <v>26.480399999999996</v>
      </c>
      <c r="J21" s="8">
        <v>-13.316759999999997</v>
      </c>
      <c r="K21" s="8">
        <v>3.5151839999999996</v>
      </c>
      <c r="L21" s="9">
        <v>-0.37013759999999996</v>
      </c>
    </row>
    <row r="23" spans="3:14" x14ac:dyDescent="0.35">
      <c r="C23" t="s">
        <v>15</v>
      </c>
      <c r="E23" cm="1">
        <f t="array" ref="E23:L23">MMULT(D12:K12,E14:L21)</f>
        <v>3.4456284456502985E-2</v>
      </c>
      <c r="F23">
        <v>-0.3129046879063086</v>
      </c>
      <c r="G23">
        <v>1.1520169645219376</v>
      </c>
      <c r="H23">
        <v>2.166726560468399</v>
      </c>
      <c r="I23">
        <v>7.3538393550970635</v>
      </c>
      <c r="J23">
        <v>-1.7516581196622802</v>
      </c>
      <c r="K23">
        <v>-2.4285096903085188</v>
      </c>
      <c r="L23">
        <v>-7.1480839160969534E-2</v>
      </c>
    </row>
    <row r="24" spans="3:14" x14ac:dyDescent="0.35">
      <c r="C24" t="s">
        <v>16</v>
      </c>
      <c r="D24">
        <v>1</v>
      </c>
      <c r="E24">
        <f>E23</f>
        <v>3.4456284456502985E-2</v>
      </c>
      <c r="F24">
        <f>E24*$D$24+F23</f>
        <v>-0.27844840344980559</v>
      </c>
      <c r="G24">
        <f t="shared" ref="G24:L24" si="6">F24*$D$24+G23</f>
        <v>0.87356856107213199</v>
      </c>
      <c r="H24">
        <f t="shared" si="6"/>
        <v>3.0402951215405309</v>
      </c>
      <c r="I24">
        <f t="shared" si="6"/>
        <v>10.394134476637594</v>
      </c>
      <c r="J24">
        <f t="shared" si="6"/>
        <v>8.6424763569753136</v>
      </c>
      <c r="K24">
        <f t="shared" si="6"/>
        <v>6.2139666666667948</v>
      </c>
      <c r="L24" s="1">
        <f t="shared" si="6"/>
        <v>6.1424858275058254</v>
      </c>
    </row>
    <row r="25" spans="3:14" x14ac:dyDescent="0.35">
      <c r="C25" t="s">
        <v>17</v>
      </c>
      <c r="D25">
        <v>1</v>
      </c>
      <c r="E25">
        <f>E23</f>
        <v>3.4456284456502985E-2</v>
      </c>
      <c r="F25">
        <f>E25*$D$25+F24</f>
        <v>-0.24399211899330261</v>
      </c>
      <c r="G25">
        <f t="shared" ref="G25:K25" si="7">F25*$D$25+G24</f>
        <v>0.62957644207882935</v>
      </c>
      <c r="H25">
        <f t="shared" si="7"/>
        <v>3.6698715636193602</v>
      </c>
      <c r="I25">
        <f t="shared" si="7"/>
        <v>14.064006040256954</v>
      </c>
      <c r="J25">
        <f t="shared" si="7"/>
        <v>22.706482397232268</v>
      </c>
      <c r="K25" s="1">
        <f t="shared" si="7"/>
        <v>28.920449063899063</v>
      </c>
    </row>
    <row r="26" spans="3:14" x14ac:dyDescent="0.35">
      <c r="C26" t="s">
        <v>18</v>
      </c>
      <c r="D26">
        <v>1</v>
      </c>
      <c r="E26">
        <f>E23</f>
        <v>3.4456284456502985E-2</v>
      </c>
      <c r="F26">
        <f>E26*$D$26+F25</f>
        <v>-0.20953583453679964</v>
      </c>
      <c r="G26">
        <f t="shared" ref="G26:J26" si="8">F26*$D$26+G25</f>
        <v>0.42004060754202971</v>
      </c>
      <c r="H26">
        <f t="shared" si="8"/>
        <v>4.0899121711613899</v>
      </c>
      <c r="I26">
        <f t="shared" si="8"/>
        <v>18.153918211418343</v>
      </c>
      <c r="J26" s="1">
        <f t="shared" si="8"/>
        <v>40.860400608650608</v>
      </c>
      <c r="N26" s="1">
        <f>2*J26</f>
        <v>81.720801217301215</v>
      </c>
    </row>
    <row r="30" spans="3:14" ht="15" thickBot="1" x14ac:dyDescent="0.4"/>
    <row r="31" spans="3:14" x14ac:dyDescent="0.35">
      <c r="C31" t="s">
        <v>21</v>
      </c>
      <c r="E31" s="2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4">
        <v>1</v>
      </c>
    </row>
    <row r="32" spans="3:14" x14ac:dyDescent="0.35">
      <c r="D32">
        <f>C10</f>
        <v>1.9</v>
      </c>
      <c r="E32" s="5" cm="1">
        <f t="array" ref="E32:L32">F31:M31-E31:L31*D32</f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 s="6">
        <v>-1.9</v>
      </c>
    </row>
    <row r="33" spans="3:13" x14ac:dyDescent="0.35">
      <c r="D33">
        <f>C9</f>
        <v>1.7</v>
      </c>
      <c r="E33" s="5" cm="1">
        <f t="array" ref="E33:L33">F32:M32-E32:L32*D33</f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-3.5999999999999996</v>
      </c>
      <c r="L33" s="6">
        <v>3.23</v>
      </c>
    </row>
    <row r="34" spans="3:13" x14ac:dyDescent="0.35">
      <c r="D34">
        <f>C8</f>
        <v>1.4</v>
      </c>
      <c r="E34" s="5" cm="1">
        <f t="array" ref="E34:L34">F33:M33-E33:L33*D34</f>
        <v>0</v>
      </c>
      <c r="F34">
        <v>0</v>
      </c>
      <c r="G34">
        <v>0</v>
      </c>
      <c r="H34">
        <v>0</v>
      </c>
      <c r="I34">
        <v>1</v>
      </c>
      <c r="J34">
        <v>-5</v>
      </c>
      <c r="K34">
        <v>8.27</v>
      </c>
      <c r="L34" s="6">
        <v>-4.5219999999999994</v>
      </c>
    </row>
    <row r="35" spans="3:13" x14ac:dyDescent="0.35">
      <c r="D35">
        <f>C7</f>
        <v>1.2</v>
      </c>
      <c r="E35" s="5" cm="1">
        <f t="array" ref="E35:L35">F34:M34-E34:L34*D35</f>
        <v>0</v>
      </c>
      <c r="F35">
        <v>0</v>
      </c>
      <c r="G35">
        <v>0</v>
      </c>
      <c r="H35">
        <v>1</v>
      </c>
      <c r="I35">
        <v>-6.2</v>
      </c>
      <c r="J35">
        <v>14.27</v>
      </c>
      <c r="K35">
        <v>-14.445999999999998</v>
      </c>
      <c r="L35" s="6">
        <v>5.4263999999999992</v>
      </c>
    </row>
    <row r="36" spans="3:13" x14ac:dyDescent="0.35">
      <c r="D36">
        <f>C6</f>
        <v>0.9</v>
      </c>
      <c r="E36" s="5" cm="1">
        <f t="array" ref="E36:L36">F35:M35-E35:L35*D36</f>
        <v>0</v>
      </c>
      <c r="F36">
        <v>0</v>
      </c>
      <c r="G36">
        <v>1</v>
      </c>
      <c r="H36">
        <v>-7.1000000000000005</v>
      </c>
      <c r="I36">
        <v>19.850000000000001</v>
      </c>
      <c r="J36">
        <v>-27.288999999999998</v>
      </c>
      <c r="K36">
        <v>18.427799999999998</v>
      </c>
      <c r="L36" s="6">
        <v>-4.8837599999999997</v>
      </c>
    </row>
    <row r="37" spans="3:13" x14ac:dyDescent="0.35">
      <c r="D37">
        <f>C5</f>
        <v>0.8</v>
      </c>
      <c r="E37" s="5" cm="1">
        <f t="array" ref="E37:L37">F36:M36-E36:L36*D37</f>
        <v>0</v>
      </c>
      <c r="F37">
        <v>1</v>
      </c>
      <c r="G37">
        <v>-7.9</v>
      </c>
      <c r="H37">
        <v>25.53</v>
      </c>
      <c r="I37">
        <v>-43.168999999999997</v>
      </c>
      <c r="J37">
        <v>40.259</v>
      </c>
      <c r="K37">
        <v>-19.625999999999998</v>
      </c>
      <c r="L37" s="6">
        <v>3.9070079999999998</v>
      </c>
    </row>
    <row r="38" spans="3:13" ht="15" thickBot="1" x14ac:dyDescent="0.4">
      <c r="D38">
        <f>C4</f>
        <v>0.6</v>
      </c>
      <c r="E38" s="7" cm="1">
        <f t="array" ref="E38:L38">F37:M37-E37:L37*D38</f>
        <v>1</v>
      </c>
      <c r="F38" s="8">
        <v>-8.5</v>
      </c>
      <c r="G38" s="8">
        <v>30.270000000000003</v>
      </c>
      <c r="H38" s="8">
        <v>-58.486999999999995</v>
      </c>
      <c r="I38" s="8">
        <v>66.160399999999996</v>
      </c>
      <c r="J38" s="8">
        <v>-43.781399999999998</v>
      </c>
      <c r="K38" s="8">
        <v>15.682607999999998</v>
      </c>
      <c r="L38" s="9">
        <v>-2.3442048</v>
      </c>
    </row>
    <row r="41" spans="3:13" x14ac:dyDescent="0.35">
      <c r="C41" t="s">
        <v>11</v>
      </c>
      <c r="E41" cm="1">
        <f t="array" ref="E41:L41">MMULT(D10:K10,E31:L38)</f>
        <v>3.4456284456502985E-2</v>
      </c>
      <c r="F41">
        <v>-0.3129046879063086</v>
      </c>
      <c r="G41">
        <v>1.1520169645219378</v>
      </c>
      <c r="H41">
        <v>2.1667265604683985</v>
      </c>
      <c r="I41">
        <v>7.3538393550970635</v>
      </c>
      <c r="J41">
        <v>-1.7516581196622933</v>
      </c>
      <c r="K41">
        <v>-2.4285096903084877</v>
      </c>
      <c r="L41">
        <v>-7.1480839160951506E-2</v>
      </c>
    </row>
    <row r="42" spans="3:13" x14ac:dyDescent="0.35">
      <c r="C42" t="s">
        <v>16</v>
      </c>
      <c r="D42">
        <v>1</v>
      </c>
      <c r="E42">
        <f>E41</f>
        <v>3.4456284456502985E-2</v>
      </c>
      <c r="F42">
        <f>E42*$D$42+F41</f>
        <v>-0.27844840344980559</v>
      </c>
      <c r="G42">
        <f t="shared" ref="G42:L42" si="9">F42*$D$42+G41</f>
        <v>0.87356856107213221</v>
      </c>
      <c r="H42">
        <f t="shared" si="9"/>
        <v>3.0402951215405309</v>
      </c>
      <c r="I42">
        <f t="shared" si="9"/>
        <v>10.394134476637594</v>
      </c>
      <c r="J42">
        <f t="shared" si="9"/>
        <v>8.6424763569753011</v>
      </c>
      <c r="K42">
        <f t="shared" si="9"/>
        <v>6.2139666666668134</v>
      </c>
      <c r="L42" s="14">
        <f t="shared" si="9"/>
        <v>6.1424858275058618</v>
      </c>
      <c r="M42" s="15"/>
    </row>
    <row r="43" spans="3:13" x14ac:dyDescent="0.35">
      <c r="C43" t="s">
        <v>17</v>
      </c>
      <c r="D43">
        <v>1</v>
      </c>
      <c r="E43">
        <f>E42</f>
        <v>3.4456284456502985E-2</v>
      </c>
      <c r="F43">
        <f>E43*$D$43+F42</f>
        <v>-0.24399211899330261</v>
      </c>
      <c r="G43">
        <f t="shared" ref="G43:K43" si="10">F43*$D$43+G42</f>
        <v>0.62957644207882957</v>
      </c>
      <c r="H43">
        <f t="shared" si="10"/>
        <v>3.6698715636193606</v>
      </c>
      <c r="I43">
        <f t="shared" si="10"/>
        <v>14.064006040256956</v>
      </c>
      <c r="J43">
        <f t="shared" si="10"/>
        <v>22.706482397232257</v>
      </c>
      <c r="K43" s="1">
        <f t="shared" si="10"/>
        <v>28.920449063899071</v>
      </c>
      <c r="L43" s="15"/>
      <c r="M43" s="14">
        <f>K43*1</f>
        <v>28.920449063899071</v>
      </c>
    </row>
    <row r="44" spans="3:13" x14ac:dyDescent="0.35">
      <c r="C44" t="s">
        <v>18</v>
      </c>
      <c r="D44">
        <v>1</v>
      </c>
      <c r="E44">
        <f>E41</f>
        <v>3.4456284456502985E-2</v>
      </c>
      <c r="F44">
        <f>E44*$D$44+F43</f>
        <v>-0.20953583453679964</v>
      </c>
      <c r="G44">
        <f t="shared" ref="G44:J44" si="11">F44*$D$44+G43</f>
        <v>0.42004060754202993</v>
      </c>
      <c r="H44">
        <f t="shared" si="11"/>
        <v>4.0899121711613908</v>
      </c>
      <c r="I44">
        <f t="shared" si="11"/>
        <v>18.153918211418347</v>
      </c>
      <c r="J44" s="1">
        <f t="shared" si="11"/>
        <v>40.860400608650608</v>
      </c>
      <c r="L44" s="15"/>
      <c r="M44" s="14">
        <f>J44*2*1</f>
        <v>81.720801217301215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58F4-2CCE-4BFA-B765-5BE166C0E80B}">
  <dimension ref="C2:N44"/>
  <sheetViews>
    <sheetView topLeftCell="A6" workbookViewId="0">
      <selection activeCell="L11" sqref="L11"/>
    </sheetView>
  </sheetViews>
  <sheetFormatPr defaultRowHeight="14.5" x14ac:dyDescent="0.35"/>
  <cols>
    <col min="3" max="3" width="19.453125" customWidth="1"/>
  </cols>
  <sheetData>
    <row r="2" spans="3:14" ht="15" thickBot="1" x14ac:dyDescent="0.4">
      <c r="C2" t="s">
        <v>22</v>
      </c>
      <c r="D2" t="s">
        <v>23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</row>
    <row r="3" spans="3:14" x14ac:dyDescent="0.35">
      <c r="C3" s="2">
        <v>0.3</v>
      </c>
      <c r="D3" s="4">
        <f>ROUND((4.57*C3^4+3.78*C3^3+2*C3-5*SIN(C3)),3)</f>
        <v>-0.73899999999999999</v>
      </c>
    </row>
    <row r="4" spans="3:14" x14ac:dyDescent="0.35">
      <c r="C4" s="5">
        <v>0.6</v>
      </c>
      <c r="D4" s="6">
        <f t="shared" ref="D4:D11" si="0">ROUND((4.57*C4^4+3.78*C4^3+2*C4-5*SIN(C4)),3)</f>
        <v>-0.214</v>
      </c>
      <c r="E4">
        <f t="shared" ref="E4:E11" si="1">(D4-D3)/(C4-C3)</f>
        <v>1.7500000000000002</v>
      </c>
    </row>
    <row r="5" spans="3:14" x14ac:dyDescent="0.35">
      <c r="C5" s="5">
        <v>0.8</v>
      </c>
      <c r="D5" s="6">
        <f t="shared" si="0"/>
        <v>1.82</v>
      </c>
      <c r="E5">
        <f t="shared" si="1"/>
        <v>10.169999999999998</v>
      </c>
      <c r="F5">
        <f t="shared" ref="F5:F11" si="2">(E5-E4)/(C5-C3)</f>
        <v>16.839999999999996</v>
      </c>
    </row>
    <row r="6" spans="3:14" x14ac:dyDescent="0.35">
      <c r="C6" s="5">
        <v>0.9</v>
      </c>
      <c r="D6" s="6">
        <f t="shared" si="0"/>
        <v>3.637</v>
      </c>
      <c r="E6">
        <f t="shared" si="1"/>
        <v>18.170000000000005</v>
      </c>
      <c r="F6">
        <f t="shared" si="2"/>
        <v>26.666666666666686</v>
      </c>
      <c r="G6">
        <f t="shared" ref="G6:G11" si="3">(F6-F5)/(C6-C3)</f>
        <v>16.377777777777812</v>
      </c>
    </row>
    <row r="7" spans="3:14" x14ac:dyDescent="0.35">
      <c r="C7" s="5">
        <v>1.2</v>
      </c>
      <c r="D7" s="6">
        <f t="shared" si="0"/>
        <v>13.747999999999999</v>
      </c>
      <c r="E7">
        <f t="shared" si="1"/>
        <v>33.70333333333334</v>
      </c>
      <c r="F7">
        <f t="shared" si="2"/>
        <v>38.833333333333343</v>
      </c>
      <c r="G7">
        <f t="shared" si="3"/>
        <v>20.277777777777764</v>
      </c>
      <c r="H7">
        <f>(G7-G6)/(C7-C3)</f>
        <v>4.3333333333332806</v>
      </c>
    </row>
    <row r="8" spans="3:14" x14ac:dyDescent="0.35">
      <c r="C8" s="5">
        <v>1.4</v>
      </c>
      <c r="D8" s="6">
        <f t="shared" si="0"/>
        <v>25.800999999999998</v>
      </c>
      <c r="E8">
        <f t="shared" si="1"/>
        <v>60.265000000000008</v>
      </c>
      <c r="F8">
        <f t="shared" si="2"/>
        <v>53.123333333333349</v>
      </c>
      <c r="G8">
        <f t="shared" si="3"/>
        <v>23.816666666666681</v>
      </c>
      <c r="H8">
        <f>(G8-G7)/(C8-C4)</f>
        <v>4.4236111111111454</v>
      </c>
      <c r="I8">
        <f>(H8-H7)/(C8-C3)</f>
        <v>8.207070707078612E-2</v>
      </c>
    </row>
    <row r="9" spans="3:14" x14ac:dyDescent="0.35">
      <c r="C9" s="5">
        <v>1.7</v>
      </c>
      <c r="D9" s="6">
        <f t="shared" si="0"/>
        <v>55.182000000000002</v>
      </c>
      <c r="E9">
        <f t="shared" si="1"/>
        <v>97.936666666666667</v>
      </c>
      <c r="F9">
        <f t="shared" si="2"/>
        <v>75.34333333333332</v>
      </c>
      <c r="G9">
        <f t="shared" si="3"/>
        <v>27.774999999999967</v>
      </c>
      <c r="H9">
        <f>(G9-G8)/(C9-C5)</f>
        <v>4.3981481481480955</v>
      </c>
      <c r="I9">
        <f>(H9-H8)/(C9-C4)</f>
        <v>-2.3148148148227125E-2</v>
      </c>
      <c r="J9">
        <f>(I9-I8)/(C9-C3)</f>
        <v>-7.5156325156438039E-2</v>
      </c>
    </row>
    <row r="10" spans="3:14" ht="15" thickBot="1" x14ac:dyDescent="0.4">
      <c r="C10" s="5">
        <v>1.9</v>
      </c>
      <c r="D10" s="6">
        <f t="shared" si="0"/>
        <v>84.552000000000007</v>
      </c>
      <c r="E10">
        <f t="shared" si="1"/>
        <v>146.85000000000005</v>
      </c>
      <c r="F10">
        <f t="shared" si="2"/>
        <v>97.826666666666767</v>
      </c>
      <c r="G10">
        <f t="shared" si="3"/>
        <v>32.119047619047784</v>
      </c>
      <c r="H10">
        <f>(G10-G9)/(C10-C6)</f>
        <v>4.3440476190478181</v>
      </c>
      <c r="I10">
        <f>(H10-H9)/(C10-C5)</f>
        <v>-4.9182299182070371E-2</v>
      </c>
      <c r="J10">
        <f>(I10-I9)/(C10-C4)</f>
        <v>-2.0026270026033268E-2</v>
      </c>
      <c r="K10">
        <f>(J10-J9)/(C10-C3)</f>
        <v>3.4456284456502985E-2</v>
      </c>
    </row>
    <row r="11" spans="3:14" ht="15" thickBot="1" x14ac:dyDescent="0.4">
      <c r="C11" s="7">
        <v>2.2000000000000002</v>
      </c>
      <c r="D11" s="10">
        <f t="shared" si="0"/>
        <v>147.66200000000001</v>
      </c>
      <c r="E11" s="11">
        <f t="shared" si="1"/>
        <v>210.36666666666648</v>
      </c>
      <c r="F11" s="11">
        <f t="shared" si="2"/>
        <v>127.03333333333279</v>
      </c>
      <c r="G11" s="11">
        <f t="shared" si="3"/>
        <v>36.508333333332516</v>
      </c>
      <c r="H11" s="11">
        <f>(G11-G10)/(C11-C7)</f>
        <v>4.389285714284731</v>
      </c>
      <c r="I11" s="11">
        <f>(H11-H10)/(C11-C6)</f>
        <v>3.4798534797625312E-2</v>
      </c>
      <c r="J11" s="11">
        <f>(I11-I10)/(C11-C5)</f>
        <v>5.9986309985496915E-2</v>
      </c>
      <c r="K11" s="11">
        <f>(J11-J10)/(C11-C4)</f>
        <v>5.000786250720636E-2</v>
      </c>
      <c r="L11" s="12">
        <f>(K11-K10)/(C11-C3)</f>
        <v>8.1850410793175652E-3</v>
      </c>
      <c r="N11" s="10" t="s">
        <v>20</v>
      </c>
    </row>
    <row r="12" spans="3:14" x14ac:dyDescent="0.35">
      <c r="C12" s="1" t="s">
        <v>13</v>
      </c>
      <c r="D12" s="1">
        <f>D3</f>
        <v>-0.73899999999999999</v>
      </c>
      <c r="E12" s="1">
        <f>E4</f>
        <v>1.7500000000000002</v>
      </c>
      <c r="F12" s="1">
        <f>F5</f>
        <v>16.839999999999996</v>
      </c>
      <c r="G12" s="1">
        <f>G6</f>
        <v>16.377777777777812</v>
      </c>
      <c r="H12" s="1">
        <f>H7</f>
        <v>4.3333333333332806</v>
      </c>
      <c r="I12" s="1">
        <f>I8</f>
        <v>8.207070707078612E-2</v>
      </c>
      <c r="J12" s="1">
        <f>J9</f>
        <v>-7.5156325156438039E-2</v>
      </c>
      <c r="K12" s="1">
        <f>K10</f>
        <v>3.4456284456502985E-2</v>
      </c>
      <c r="L12" s="1">
        <f>L11</f>
        <v>8.1850410793175652E-3</v>
      </c>
    </row>
    <row r="13" spans="3:14" ht="15" thickBot="1" x14ac:dyDescent="0.4"/>
    <row r="14" spans="3:14" x14ac:dyDescent="0.35">
      <c r="C14" t="s">
        <v>14</v>
      </c>
      <c r="E14" s="2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4">
        <v>1</v>
      </c>
    </row>
    <row r="15" spans="3:14" x14ac:dyDescent="0.35">
      <c r="D15" cm="1">
        <f t="array" ref="D15:D22">C3:C10</f>
        <v>0.3</v>
      </c>
      <c r="E15" s="5" cm="1">
        <f t="array" ref="E15:M15">F14:N14-D15*E14:M14</f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 s="6">
        <v>-0.3</v>
      </c>
    </row>
    <row r="16" spans="3:14" x14ac:dyDescent="0.35">
      <c r="D16">
        <v>0.6</v>
      </c>
      <c r="E16" s="5" cm="1">
        <f t="array" ref="E16:M16">F15:N15-D16*E15:M15</f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-0.89999999999999991</v>
      </c>
      <c r="M16" s="6">
        <v>0.18</v>
      </c>
    </row>
    <row r="17" spans="3:14" x14ac:dyDescent="0.35">
      <c r="D17">
        <v>0.8</v>
      </c>
      <c r="E17" s="5" cm="1">
        <f t="array" ref="E17:M17">F16:N16-D17*E16:M16</f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-1.7</v>
      </c>
      <c r="L17">
        <v>0.89999999999999991</v>
      </c>
      <c r="M17" s="6">
        <v>-0.14399999999999999</v>
      </c>
    </row>
    <row r="18" spans="3:14" x14ac:dyDescent="0.35">
      <c r="D18">
        <v>0.9</v>
      </c>
      <c r="E18" s="5" cm="1">
        <f t="array" ref="E18:M18">F17:N17-D18*E17:M17</f>
        <v>0</v>
      </c>
      <c r="F18">
        <v>0</v>
      </c>
      <c r="G18">
        <v>0</v>
      </c>
      <c r="H18">
        <v>0</v>
      </c>
      <c r="I18">
        <v>1</v>
      </c>
      <c r="J18">
        <v>-2.6</v>
      </c>
      <c r="K18">
        <v>2.4299999999999997</v>
      </c>
      <c r="L18">
        <v>-0.95399999999999996</v>
      </c>
      <c r="M18" s="6">
        <v>0.12959999999999999</v>
      </c>
    </row>
    <row r="19" spans="3:14" x14ac:dyDescent="0.35">
      <c r="D19">
        <v>1.2</v>
      </c>
      <c r="E19" s="5" cm="1">
        <f t="array" ref="E19:M19">F18:N18-D19*E18:M18</f>
        <v>0</v>
      </c>
      <c r="F19">
        <v>0</v>
      </c>
      <c r="G19">
        <v>0</v>
      </c>
      <c r="H19">
        <v>1</v>
      </c>
      <c r="I19">
        <v>-3.8</v>
      </c>
      <c r="J19">
        <v>5.55</v>
      </c>
      <c r="K19">
        <v>-3.8699999999999992</v>
      </c>
      <c r="L19">
        <v>1.2743999999999998</v>
      </c>
      <c r="M19" s="6">
        <v>-0.15551999999999999</v>
      </c>
    </row>
    <row r="20" spans="3:14" x14ac:dyDescent="0.35">
      <c r="D20">
        <v>1.4</v>
      </c>
      <c r="E20" s="5" cm="1">
        <f t="array" ref="E20:M20">F19:N19-D20*E19:M19</f>
        <v>0</v>
      </c>
      <c r="F20">
        <v>0</v>
      </c>
      <c r="G20">
        <v>1</v>
      </c>
      <c r="H20">
        <v>-5.1999999999999993</v>
      </c>
      <c r="I20">
        <v>10.87</v>
      </c>
      <c r="J20">
        <v>-11.639999999999999</v>
      </c>
      <c r="K20">
        <v>6.6923999999999984</v>
      </c>
      <c r="L20">
        <v>-1.9396799999999996</v>
      </c>
      <c r="M20" s="6">
        <v>0.21772799999999998</v>
      </c>
    </row>
    <row r="21" spans="3:14" x14ac:dyDescent="0.35">
      <c r="D21">
        <v>1.7</v>
      </c>
      <c r="E21" s="5" cm="1">
        <f t="array" ref="E21:M21">F20:N20-D21*E20:M20</f>
        <v>0</v>
      </c>
      <c r="F21">
        <v>1</v>
      </c>
      <c r="G21">
        <v>-6.8999999999999995</v>
      </c>
      <c r="H21">
        <v>19.709999999999997</v>
      </c>
      <c r="I21">
        <v>-30.119</v>
      </c>
      <c r="J21">
        <v>26.480399999999996</v>
      </c>
      <c r="K21">
        <v>-13.316759999999997</v>
      </c>
      <c r="L21">
        <v>3.5151839999999996</v>
      </c>
      <c r="M21" s="6">
        <v>-0.37013759999999996</v>
      </c>
    </row>
    <row r="22" spans="3:14" ht="15" thickBot="1" x14ac:dyDescent="0.4">
      <c r="D22">
        <v>1.9</v>
      </c>
      <c r="E22" s="7" cm="1">
        <f t="array" ref="E22:M22">F21:N21-D22*E21:M21</f>
        <v>1</v>
      </c>
      <c r="F22" s="8">
        <v>-8.7999999999999989</v>
      </c>
      <c r="G22" s="8">
        <v>32.819999999999993</v>
      </c>
      <c r="H22" s="8">
        <v>-67.567999999999984</v>
      </c>
      <c r="I22" s="8">
        <v>83.706499999999991</v>
      </c>
      <c r="J22" s="8">
        <v>-63.629519999999985</v>
      </c>
      <c r="K22" s="8">
        <v>28.817027999999993</v>
      </c>
      <c r="L22" s="8">
        <v>-7.0489871999999982</v>
      </c>
      <c r="M22" s="9">
        <v>0.7032614399999999</v>
      </c>
    </row>
    <row r="23" spans="3:14" x14ac:dyDescent="0.35">
      <c r="C23" t="s">
        <v>15</v>
      </c>
      <c r="E23" cm="1">
        <f t="array" ref="E23:M23">MMULT(D12:L12,E14:M22)</f>
        <v>8.1850410793175652E-3</v>
      </c>
      <c r="F23">
        <v>-3.7572077041491576E-2</v>
      </c>
      <c r="G23">
        <v>-4.4271639683106156E-2</v>
      </c>
      <c r="H23">
        <v>0.59897010887460844</v>
      </c>
      <c r="I23">
        <v>2.8518677015742946</v>
      </c>
      <c r="J23">
        <v>6.8330291200398054</v>
      </c>
      <c r="K23">
        <v>-1.5157895616984358</v>
      </c>
      <c r="L23">
        <v>-2.4862059401081025</v>
      </c>
      <c r="M23">
        <v>-6.5724615385069504E-2</v>
      </c>
    </row>
    <row r="24" spans="3:14" x14ac:dyDescent="0.35">
      <c r="C24" t="s">
        <v>16</v>
      </c>
      <c r="D24">
        <v>1</v>
      </c>
      <c r="E24">
        <f>E23</f>
        <v>8.1850410793175652E-3</v>
      </c>
      <c r="F24">
        <f>E24*$D$24+F23</f>
        <v>-2.9387035962174013E-2</v>
      </c>
      <c r="G24">
        <f t="shared" ref="G24:M24" si="4">F24*$D$24+G23</f>
        <v>-7.3658675645280169E-2</v>
      </c>
      <c r="H24">
        <f t="shared" si="4"/>
        <v>0.52531143322932827</v>
      </c>
      <c r="I24">
        <f t="shared" si="4"/>
        <v>3.3771791348036229</v>
      </c>
      <c r="J24">
        <f t="shared" si="4"/>
        <v>10.210208254843428</v>
      </c>
      <c r="K24">
        <f t="shared" si="4"/>
        <v>8.6944186931449927</v>
      </c>
      <c r="L24">
        <f t="shared" si="4"/>
        <v>6.2082127530368902</v>
      </c>
      <c r="M24" s="1">
        <f t="shared" si="4"/>
        <v>6.1424881376518208</v>
      </c>
    </row>
    <row r="25" spans="3:14" x14ac:dyDescent="0.35">
      <c r="C25" t="s">
        <v>17</v>
      </c>
      <c r="D25">
        <v>1</v>
      </c>
      <c r="E25">
        <f>E23</f>
        <v>8.1850410793175652E-3</v>
      </c>
      <c r="F25">
        <f>E25*$D$25+F24</f>
        <v>-2.1201994882856449E-2</v>
      </c>
      <c r="G25">
        <f t="shared" ref="G25:L25" si="5">F25*$D$25+G24</f>
        <v>-9.4860670528136626E-2</v>
      </c>
      <c r="H25">
        <f t="shared" si="5"/>
        <v>0.43045076270119165</v>
      </c>
      <c r="I25">
        <f t="shared" si="5"/>
        <v>3.8076298975048144</v>
      </c>
      <c r="J25">
        <f t="shared" si="5"/>
        <v>14.017838152348242</v>
      </c>
      <c r="K25">
        <f t="shared" si="5"/>
        <v>22.712256845493236</v>
      </c>
      <c r="L25" s="1">
        <f t="shared" si="5"/>
        <v>28.920469598530126</v>
      </c>
      <c r="N25" s="14">
        <f>L25*1</f>
        <v>28.920469598530126</v>
      </c>
    </row>
    <row r="26" spans="3:14" x14ac:dyDescent="0.35">
      <c r="C26" t="s">
        <v>18</v>
      </c>
      <c r="D26">
        <v>1</v>
      </c>
      <c r="E26">
        <f>E23</f>
        <v>8.1850410793175652E-3</v>
      </c>
      <c r="F26">
        <f>E26*$D$26+F25</f>
        <v>-1.3016953803538884E-2</v>
      </c>
      <c r="G26">
        <f t="shared" ref="G26:K26" si="6">F26*$D$26+G25</f>
        <v>-0.10787762433167551</v>
      </c>
      <c r="H26">
        <f t="shared" si="6"/>
        <v>0.32257313836951612</v>
      </c>
      <c r="I26">
        <f t="shared" si="6"/>
        <v>4.1302030358743309</v>
      </c>
      <c r="J26">
        <f t="shared" si="6"/>
        <v>18.148041188222571</v>
      </c>
      <c r="K26">
        <f t="shared" si="6"/>
        <v>40.860298033715807</v>
      </c>
      <c r="N26" s="14">
        <f>2*K26</f>
        <v>81.720596067431615</v>
      </c>
    </row>
    <row r="30" spans="3:14" ht="15" thickBot="1" x14ac:dyDescent="0.4"/>
    <row r="31" spans="3:14" x14ac:dyDescent="0.35">
      <c r="C31" t="s">
        <v>21</v>
      </c>
      <c r="E31" s="2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4">
        <v>1</v>
      </c>
    </row>
    <row r="32" spans="3:14" x14ac:dyDescent="0.35">
      <c r="D32">
        <f>C11</f>
        <v>2.2000000000000002</v>
      </c>
      <c r="E32" s="5" cm="1">
        <f t="array" ref="E32:M32">F31:N31-E31:M31*D32</f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s="6">
        <v>-2.2000000000000002</v>
      </c>
    </row>
    <row r="33" spans="3:13" x14ac:dyDescent="0.35">
      <c r="D33">
        <f>C10</f>
        <v>1.9</v>
      </c>
      <c r="E33" s="5" cm="1">
        <f t="array" ref="E33:M33">F32:N32-E32:M32*D33</f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-4.0999999999999996</v>
      </c>
      <c r="M33" s="6">
        <v>4.18</v>
      </c>
    </row>
    <row r="34" spans="3:13" x14ac:dyDescent="0.35">
      <c r="D34">
        <f>C9</f>
        <v>1.7</v>
      </c>
      <c r="E34" s="5" cm="1">
        <f t="array" ref="E34:M34">F33:N33-E33:M33*D34</f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-5.8</v>
      </c>
      <c r="L34">
        <v>11.149999999999999</v>
      </c>
      <c r="M34" s="6">
        <v>-7.105999999999999</v>
      </c>
    </row>
    <row r="35" spans="3:13" x14ac:dyDescent="0.35">
      <c r="D35">
        <f>C8</f>
        <v>1.4</v>
      </c>
      <c r="E35" s="5" cm="1">
        <f t="array" ref="E35:M35">F34:N34-E34:M34*D35</f>
        <v>0</v>
      </c>
      <c r="F35">
        <v>0</v>
      </c>
      <c r="G35">
        <v>0</v>
      </c>
      <c r="H35">
        <v>0</v>
      </c>
      <c r="I35">
        <v>1</v>
      </c>
      <c r="J35">
        <v>-7.1999999999999993</v>
      </c>
      <c r="K35">
        <v>19.269999999999996</v>
      </c>
      <c r="L35">
        <v>-22.715999999999998</v>
      </c>
      <c r="M35" s="6">
        <v>9.9483999999999977</v>
      </c>
    </row>
    <row r="36" spans="3:13" x14ac:dyDescent="0.35">
      <c r="D36">
        <f>C7</f>
        <v>1.2</v>
      </c>
      <c r="E36" s="5" cm="1">
        <f t="array" ref="E36:M36">F35:N35-E35:M35*D36</f>
        <v>0</v>
      </c>
      <c r="F36">
        <v>0</v>
      </c>
      <c r="G36">
        <v>0</v>
      </c>
      <c r="H36">
        <v>1</v>
      </c>
      <c r="I36">
        <v>-8.3999999999999986</v>
      </c>
      <c r="J36">
        <v>27.909999999999997</v>
      </c>
      <c r="K36">
        <v>-45.839999999999989</v>
      </c>
      <c r="L36">
        <v>37.207599999999992</v>
      </c>
      <c r="M36" s="6">
        <v>-11.938079999999998</v>
      </c>
    </row>
    <row r="37" spans="3:13" x14ac:dyDescent="0.35">
      <c r="D37">
        <f>C6</f>
        <v>0.9</v>
      </c>
      <c r="E37" s="5" cm="1">
        <f t="array" ref="E37:M37">F36:N36-E36:M36*D37</f>
        <v>0</v>
      </c>
      <c r="F37">
        <v>0</v>
      </c>
      <c r="G37">
        <v>1</v>
      </c>
      <c r="H37">
        <v>-9.2999999999999989</v>
      </c>
      <c r="I37">
        <v>35.47</v>
      </c>
      <c r="J37">
        <v>-70.958999999999989</v>
      </c>
      <c r="K37">
        <v>78.463599999999985</v>
      </c>
      <c r="L37">
        <v>-45.424919999999993</v>
      </c>
      <c r="M37" s="6">
        <v>10.744271999999999</v>
      </c>
    </row>
    <row r="38" spans="3:13" x14ac:dyDescent="0.35">
      <c r="D38">
        <f>C5</f>
        <v>0.8</v>
      </c>
      <c r="E38" s="5" cm="1">
        <f t="array" ref="E38:M38">F37:N37-E37:M37*D38</f>
        <v>0</v>
      </c>
      <c r="F38">
        <v>1</v>
      </c>
      <c r="G38">
        <v>-10.1</v>
      </c>
      <c r="H38">
        <v>42.91</v>
      </c>
      <c r="I38">
        <v>-99.334999999999994</v>
      </c>
      <c r="J38">
        <v>135.23079999999999</v>
      </c>
      <c r="K38">
        <v>-108.19579999999999</v>
      </c>
      <c r="L38">
        <v>47.08420799999999</v>
      </c>
      <c r="M38" s="6">
        <v>-8.5954175999999993</v>
      </c>
    </row>
    <row r="39" spans="3:13" ht="15" thickBot="1" x14ac:dyDescent="0.4">
      <c r="D39">
        <f>C4</f>
        <v>0.6</v>
      </c>
      <c r="E39" s="7" cm="1">
        <f t="array" ref="E39:M39">F38:N38-E38:M38*D39</f>
        <v>1</v>
      </c>
      <c r="F39" s="8">
        <v>-10.7</v>
      </c>
      <c r="G39" s="8">
        <v>48.97</v>
      </c>
      <c r="H39" s="8">
        <v>-125.08099999999999</v>
      </c>
      <c r="I39" s="8">
        <v>194.83179999999999</v>
      </c>
      <c r="J39" s="8">
        <v>-189.33427999999998</v>
      </c>
      <c r="K39" s="8">
        <v>112.00168799999999</v>
      </c>
      <c r="L39" s="8">
        <v>-36.845942399999991</v>
      </c>
      <c r="M39" s="9">
        <v>5.1572505599999996</v>
      </c>
    </row>
    <row r="41" spans="3:13" x14ac:dyDescent="0.35">
      <c r="C41" t="s">
        <v>11</v>
      </c>
      <c r="E41" cm="1">
        <f t="array" ref="E41:M41">MMULT(D11:L11,E31:M39)</f>
        <v>8.1850410793175652E-3</v>
      </c>
      <c r="F41">
        <v>-3.7572077041491583E-2</v>
      </c>
      <c r="G41">
        <v>-4.4271639683106156E-2</v>
      </c>
      <c r="H41">
        <v>0.59897010887460866</v>
      </c>
      <c r="I41">
        <v>2.8518677015742937</v>
      </c>
      <c r="J41">
        <v>6.8330291200398126</v>
      </c>
      <c r="K41">
        <v>-1.5157895616984445</v>
      </c>
      <c r="L41">
        <v>-2.486205940108178</v>
      </c>
      <c r="M41">
        <v>-6.5724615385051186E-2</v>
      </c>
    </row>
    <row r="42" spans="3:13" x14ac:dyDescent="0.35">
      <c r="C42" t="s">
        <v>16</v>
      </c>
      <c r="D42">
        <v>1</v>
      </c>
      <c r="E42">
        <f>E41</f>
        <v>8.1850410793175652E-3</v>
      </c>
      <c r="F42">
        <f>E42*$D$42+F41</f>
        <v>-2.938703596217402E-2</v>
      </c>
      <c r="G42">
        <f t="shared" ref="G42:K42" si="7">F42*$D$42+G41</f>
        <v>-7.3658675645280169E-2</v>
      </c>
      <c r="H42">
        <f t="shared" si="7"/>
        <v>0.52531143322932849</v>
      </c>
      <c r="I42">
        <f t="shared" si="7"/>
        <v>3.3771791348036224</v>
      </c>
      <c r="J42">
        <f t="shared" si="7"/>
        <v>10.210208254843435</v>
      </c>
      <c r="K42">
        <f t="shared" si="7"/>
        <v>8.6944186931449909</v>
      </c>
      <c r="L42">
        <f t="shared" ref="L42" si="8">K42*$D$42+L41</f>
        <v>6.208212753036813</v>
      </c>
      <c r="M42" s="1">
        <f t="shared" ref="M42" si="9">L42*$D$42+M41</f>
        <v>6.1424881376517622</v>
      </c>
    </row>
    <row r="43" spans="3:13" x14ac:dyDescent="0.35">
      <c r="C43" t="s">
        <v>17</v>
      </c>
      <c r="D43">
        <v>1</v>
      </c>
      <c r="E43">
        <f>E42</f>
        <v>8.1850410793175652E-3</v>
      </c>
      <c r="F43">
        <f>E43*$D$43+F42</f>
        <v>-2.1201994882856456E-2</v>
      </c>
      <c r="G43">
        <f t="shared" ref="G43:J43" si="10">F43*$D$43+G42</f>
        <v>-9.4860670528136626E-2</v>
      </c>
      <c r="H43">
        <f t="shared" si="10"/>
        <v>0.43045076270119187</v>
      </c>
      <c r="I43">
        <f t="shared" si="10"/>
        <v>3.8076298975048144</v>
      </c>
      <c r="J43">
        <f t="shared" si="10"/>
        <v>14.017838152348249</v>
      </c>
      <c r="K43">
        <f t="shared" ref="K43" si="11">J43*$D$43+K42</f>
        <v>22.71225684549324</v>
      </c>
      <c r="L43" s="1">
        <f t="shared" ref="L43" si="12">K43*$D$43+L42</f>
        <v>28.920469598530055</v>
      </c>
      <c r="M43" s="14">
        <f>L43*1</f>
        <v>28.920469598530055</v>
      </c>
    </row>
    <row r="44" spans="3:13" x14ac:dyDescent="0.35">
      <c r="C44" t="s">
        <v>18</v>
      </c>
      <c r="D44">
        <v>1</v>
      </c>
      <c r="E44">
        <f>E41</f>
        <v>8.1850410793175652E-3</v>
      </c>
      <c r="F44">
        <f>E44*$D$44+F43</f>
        <v>-1.3016953803538891E-2</v>
      </c>
      <c r="G44">
        <f t="shared" ref="G44:I44" si="13">F44*$D$44+G43</f>
        <v>-0.10787762433167551</v>
      </c>
      <c r="H44">
        <f t="shared" si="13"/>
        <v>0.32257313836951634</v>
      </c>
      <c r="I44">
        <f t="shared" si="13"/>
        <v>4.1302030358743309</v>
      </c>
      <c r="J44">
        <f t="shared" ref="J44" si="14">I44*$D$44+J43</f>
        <v>18.148041188222578</v>
      </c>
      <c r="K44" s="1">
        <f t="shared" ref="K44" si="15">J44*$D$44+K43</f>
        <v>40.860298033715821</v>
      </c>
      <c r="L44" s="15"/>
      <c r="M44" s="14">
        <f>K44*2*1</f>
        <v>81.720596067431643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 mốc</vt:lpstr>
      <vt:lpstr>Ví dụ ( 7 mốc )</vt:lpstr>
      <vt:lpstr>Bài 17 ( 8 mốc )</vt:lpstr>
      <vt:lpstr>9 mốc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Quyet Tien 20227033</dc:creator>
  <cp:lastModifiedBy>Dang Quyet Tien 20227033</cp:lastModifiedBy>
  <dcterms:created xsi:type="dcterms:W3CDTF">2024-10-01T03:30:02Z</dcterms:created>
  <dcterms:modified xsi:type="dcterms:W3CDTF">2024-10-29T03:01:09Z</dcterms:modified>
</cp:coreProperties>
</file>